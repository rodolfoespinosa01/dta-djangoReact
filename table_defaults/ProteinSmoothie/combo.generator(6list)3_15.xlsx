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odolfoespinosa-nunez/Library/Mobile Documents/com~apple~CloudDocs/Documents/"/>
    </mc:Choice>
  </mc:AlternateContent>
  <xr:revisionPtr revIDLastSave="0" documentId="8_{CE101348-FA4A-E040-A667-E061E32C7B23}" xr6:coauthVersionLast="47" xr6:coauthVersionMax="47" xr10:uidLastSave="{00000000-0000-0000-0000-000000000000}"/>
  <bookViews>
    <workbookView xWindow="25100" yWindow="500" windowWidth="22940" windowHeight="16560" xr2:uid="{8E374AE6-04E9-4A75-90EC-05FCE6428B0B}"/>
  </bookViews>
  <sheets>
    <sheet name="Combinations" sheetId="1" r:id="rId1"/>
    <sheet name="Sheet1" sheetId="3" r:id="rId2"/>
    <sheet name="HELP" sheetId="2" state="hidden" r:id="rId3"/>
  </sheets>
  <definedNames>
    <definedName name="C_L1">HELP!$B$4</definedName>
    <definedName name="C_L2">HELP!$B$5</definedName>
    <definedName name="C_L3">HELP!$B$6</definedName>
    <definedName name="C_L4">HELP!$B$7</definedName>
    <definedName name="C_L5">HELP!$B$8</definedName>
    <definedName name="C_L6">HELP!$B$9</definedName>
    <definedName name="I_S">Combinations!$P$4</definedName>
    <definedName name="LIST">OFFSET(Combinations!$P$7,0,0,_xleta.N)</definedName>
    <definedName name="N">HELP!$C$4</definedName>
    <definedName name="N_1">HELP!$C$5</definedName>
    <definedName name="N_2">HELP!$C$6</definedName>
    <definedName name="N_3">HELP!$C$7</definedName>
    <definedName name="N_4">HELP!$C$8</definedName>
    <definedName name="N_5">HELP!$C$9</definedName>
    <definedName name="N_LISTS">HELP!$B$11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2" l="1"/>
  <c r="B8" i="2"/>
  <c r="B7" i="2"/>
  <c r="B6" i="2"/>
  <c r="B5" i="2"/>
  <c r="B4" i="2"/>
  <c r="B11" i="2" l="1"/>
  <c r="L1" i="1" l="1"/>
  <c r="C5" i="2"/>
  <c r="C9" i="2"/>
  <c r="C6" i="2"/>
  <c r="C4" i="2"/>
  <c r="C8" i="2"/>
  <c r="C7" i="2"/>
  <c r="P507" i="1" l="1"/>
  <c r="P511" i="1"/>
  <c r="P508" i="1"/>
  <c r="P512" i="1"/>
  <c r="P509" i="1"/>
  <c r="P513" i="1"/>
  <c r="P510" i="1"/>
  <c r="P514" i="1"/>
  <c r="A27" i="3"/>
  <c r="A23" i="3"/>
  <c r="A19" i="3"/>
  <c r="A15" i="3"/>
  <c r="A11" i="3"/>
  <c r="A7" i="3"/>
  <c r="A3" i="3"/>
  <c r="A20" i="3"/>
  <c r="A12" i="3"/>
  <c r="A26" i="3"/>
  <c r="A22" i="3"/>
  <c r="A18" i="3"/>
  <c r="A14" i="3"/>
  <c r="A10" i="3"/>
  <c r="A6" i="3"/>
  <c r="A2" i="3"/>
  <c r="A16" i="3"/>
  <c r="A4" i="3"/>
  <c r="A25" i="3"/>
  <c r="A21" i="3"/>
  <c r="A17" i="3"/>
  <c r="A13" i="3"/>
  <c r="A9" i="3"/>
  <c r="A5" i="3"/>
  <c r="A1" i="3"/>
  <c r="A24" i="3"/>
  <c r="A8" i="3"/>
  <c r="J293" i="2"/>
  <c r="G401" i="2"/>
  <c r="G267" i="2"/>
  <c r="G224" i="2"/>
  <c r="I117" i="2"/>
  <c r="G59" i="2"/>
  <c r="H220" i="2"/>
  <c r="H487" i="2"/>
  <c r="G478" i="2"/>
  <c r="I364" i="2"/>
  <c r="G270" i="2"/>
  <c r="H485" i="2"/>
  <c r="J399" i="2"/>
  <c r="G142" i="2"/>
  <c r="G391" i="2"/>
  <c r="G308" i="2"/>
  <c r="G411" i="2"/>
  <c r="G54" i="2"/>
  <c r="G96" i="2"/>
  <c r="I461" i="2"/>
  <c r="J459" i="2"/>
  <c r="I191" i="2"/>
  <c r="I372" i="2"/>
  <c r="I492" i="2"/>
  <c r="I316" i="2"/>
  <c r="G234" i="2"/>
  <c r="G150" i="2"/>
  <c r="G60" i="2"/>
  <c r="I169" i="2"/>
  <c r="J484" i="2"/>
  <c r="K324" i="2"/>
  <c r="G273" i="2"/>
  <c r="G61" i="2"/>
  <c r="G310" i="2"/>
  <c r="G203" i="2"/>
  <c r="G107" i="2"/>
  <c r="G228" i="2"/>
  <c r="G181" i="2"/>
  <c r="G279" i="2"/>
  <c r="J387" i="2"/>
  <c r="L433" i="2"/>
  <c r="K457" i="2"/>
  <c r="L180" i="2"/>
  <c r="J463" i="2"/>
  <c r="I447" i="2"/>
  <c r="G222" i="2"/>
  <c r="G453" i="2"/>
  <c r="H490" i="2"/>
  <c r="L440" i="2"/>
  <c r="G186" i="2"/>
  <c r="K485" i="2"/>
  <c r="G330" i="2"/>
  <c r="G260" i="2"/>
  <c r="G395" i="2"/>
  <c r="G382" i="2"/>
  <c r="J156" i="2"/>
  <c r="G53" i="2"/>
  <c r="G151" i="2"/>
  <c r="L490" i="2"/>
  <c r="I408" i="2"/>
  <c r="J406" i="2"/>
  <c r="I325" i="2"/>
  <c r="L437" i="2"/>
  <c r="K464" i="2"/>
  <c r="G370" i="2"/>
  <c r="G438" i="2"/>
  <c r="I452" i="2"/>
  <c r="G492" i="2"/>
  <c r="K409" i="2"/>
  <c r="I367" i="2"/>
  <c r="I363" i="2"/>
  <c r="G139" i="2"/>
  <c r="G446" i="2"/>
  <c r="G367" i="2"/>
  <c r="G244" i="2"/>
  <c r="G35" i="2"/>
  <c r="G297" i="2"/>
  <c r="G381" i="2"/>
  <c r="G90" i="2"/>
  <c r="G164" i="2"/>
  <c r="L406" i="2"/>
  <c r="G465" i="2"/>
  <c r="G325" i="2"/>
  <c r="G165" i="2"/>
  <c r="G17" i="2"/>
  <c r="G208" i="2"/>
  <c r="G80" i="2"/>
  <c r="G263" i="2"/>
  <c r="G135" i="2"/>
  <c r="I320" i="2"/>
  <c r="H474" i="2"/>
  <c r="I401" i="2"/>
  <c r="H495" i="2"/>
  <c r="L481" i="2"/>
  <c r="I456" i="2"/>
  <c r="K430" i="2"/>
  <c r="H405" i="2"/>
  <c r="J351" i="2"/>
  <c r="K489" i="2"/>
  <c r="I451" i="2"/>
  <c r="H400" i="2"/>
  <c r="I474" i="2"/>
  <c r="H321" i="2"/>
  <c r="J369" i="2"/>
  <c r="H298" i="2"/>
  <c r="J436" i="2"/>
  <c r="L485" i="2"/>
  <c r="I460" i="2"/>
  <c r="J431" i="2"/>
  <c r="I396" i="2"/>
  <c r="J303" i="2"/>
  <c r="J434" i="2"/>
  <c r="H439" i="2"/>
  <c r="H299" i="2"/>
  <c r="G340" i="2"/>
  <c r="G353" i="2"/>
  <c r="G402" i="2"/>
  <c r="G250" i="2"/>
  <c r="G451" i="2"/>
  <c r="G355" i="2"/>
  <c r="G502" i="2"/>
  <c r="G145" i="2"/>
  <c r="G243" i="2"/>
  <c r="I417" i="2"/>
  <c r="K426" i="2"/>
  <c r="H444" i="2"/>
  <c r="J337" i="2"/>
  <c r="I350" i="2"/>
  <c r="G441" i="2"/>
  <c r="G104" i="2"/>
  <c r="H461" i="2"/>
  <c r="H391" i="2"/>
  <c r="J489" i="2"/>
  <c r="I203" i="2"/>
  <c r="L400" i="2"/>
  <c r="I149" i="2"/>
  <c r="I294" i="2"/>
  <c r="J108" i="2"/>
  <c r="G349" i="2"/>
  <c r="K358" i="2"/>
  <c r="G206" i="2"/>
  <c r="G169" i="2"/>
  <c r="G334" i="2"/>
  <c r="G467" i="2"/>
  <c r="G217" i="2"/>
  <c r="G315" i="2"/>
  <c r="L232" i="2"/>
  <c r="G105" i="2"/>
  <c r="G154" i="2"/>
  <c r="G493" i="2"/>
  <c r="G265" i="2"/>
  <c r="G52" i="2"/>
  <c r="K492" i="2"/>
  <c r="G368" i="2"/>
  <c r="G210" i="2"/>
  <c r="G185" i="2"/>
  <c r="G283" i="2"/>
  <c r="K374" i="2"/>
  <c r="G466" i="2"/>
  <c r="G245" i="2"/>
  <c r="G117" i="2"/>
  <c r="G288" i="2"/>
  <c r="G160" i="2"/>
  <c r="G8" i="2"/>
  <c r="G215" i="2"/>
  <c r="G87" i="2"/>
  <c r="H410" i="2"/>
  <c r="H498" i="2"/>
  <c r="K439" i="2"/>
  <c r="L497" i="2"/>
  <c r="I472" i="2"/>
  <c r="K446" i="2"/>
  <c r="H421" i="2"/>
  <c r="J395" i="2"/>
  <c r="H313" i="2"/>
  <c r="H480" i="2"/>
  <c r="H432" i="2"/>
  <c r="H357" i="2"/>
  <c r="L435" i="2"/>
  <c r="K361" i="2"/>
  <c r="K292" i="2"/>
  <c r="I174" i="2"/>
  <c r="H494" i="2"/>
  <c r="I476" i="2"/>
  <c r="K450" i="2"/>
  <c r="K418" i="2"/>
  <c r="J367" i="2"/>
  <c r="I487" i="2"/>
  <c r="K389" i="2"/>
  <c r="J274" i="2"/>
  <c r="K233" i="2"/>
  <c r="G436" i="2"/>
  <c r="G497" i="2"/>
  <c r="G338" i="2"/>
  <c r="G376" i="2"/>
  <c r="G302" i="2"/>
  <c r="G242" i="2"/>
  <c r="G431" i="2"/>
  <c r="G316" i="2"/>
  <c r="G115" i="2"/>
  <c r="J500" i="2"/>
  <c r="H401" i="2"/>
  <c r="L392" i="2"/>
  <c r="L146" i="2"/>
  <c r="G403" i="2"/>
  <c r="G426" i="2"/>
  <c r="G159" i="2"/>
  <c r="L409" i="2"/>
  <c r="H338" i="2"/>
  <c r="I438" i="2"/>
  <c r="I298" i="2"/>
  <c r="I434" i="2"/>
  <c r="K452" i="2"/>
  <c r="L179" i="2"/>
  <c r="L404" i="2"/>
  <c r="I252" i="2"/>
  <c r="J288" i="2"/>
  <c r="I205" i="2"/>
  <c r="G274" i="2"/>
  <c r="G491" i="2"/>
  <c r="G196" i="2"/>
  <c r="J307" i="2"/>
  <c r="G33" i="2"/>
  <c r="G400" i="2"/>
  <c r="G332" i="2"/>
  <c r="G153" i="2"/>
  <c r="G251" i="2"/>
  <c r="G384" i="2"/>
  <c r="G276" i="2"/>
  <c r="G352" i="2"/>
  <c r="G146" i="2"/>
  <c r="G201" i="2"/>
  <c r="G299" i="2"/>
  <c r="J323" i="2"/>
  <c r="G432" i="2"/>
  <c r="G366" i="2"/>
  <c r="G121" i="2"/>
  <c r="G219" i="2"/>
  <c r="G262" i="2"/>
  <c r="G379" i="2"/>
  <c r="G229" i="2"/>
  <c r="G101" i="2"/>
  <c r="G272" i="2"/>
  <c r="G144" i="2"/>
  <c r="G327" i="2"/>
  <c r="G199" i="2"/>
  <c r="G71" i="2"/>
  <c r="L422" i="2"/>
  <c r="H502" i="2"/>
  <c r="J452" i="2"/>
  <c r="K494" i="2"/>
  <c r="H469" i="2"/>
  <c r="J443" i="2"/>
  <c r="L417" i="2"/>
  <c r="I392" i="2"/>
  <c r="I300" i="2"/>
  <c r="L476" i="2"/>
  <c r="K425" i="2"/>
  <c r="J331" i="2"/>
  <c r="H423" i="2"/>
  <c r="H336" i="2"/>
  <c r="H212" i="2"/>
  <c r="K231" i="2"/>
  <c r="I502" i="2"/>
  <c r="H473" i="2"/>
  <c r="J447" i="2"/>
  <c r="I412" i="2"/>
  <c r="K354" i="2"/>
  <c r="L480" i="2"/>
  <c r="K366" i="2"/>
  <c r="H368" i="2"/>
  <c r="K192" i="2"/>
  <c r="G484" i="2"/>
  <c r="G407" i="2"/>
  <c r="G463" i="2"/>
  <c r="G440" i="2"/>
  <c r="G389" i="2"/>
  <c r="G374" i="2"/>
  <c r="G82" i="2"/>
  <c r="G188" i="2"/>
  <c r="I384" i="2"/>
  <c r="L477" i="2"/>
  <c r="J335" i="2"/>
  <c r="I458" i="2"/>
  <c r="K423" i="2"/>
  <c r="G102" i="2"/>
  <c r="G317" i="2"/>
  <c r="L454" i="2"/>
  <c r="L216" i="2"/>
  <c r="H456" i="2"/>
  <c r="L381" i="2"/>
  <c r="L330" i="2"/>
  <c r="J358" i="2"/>
  <c r="K352" i="2"/>
  <c r="P1" i="1"/>
  <c r="J11" i="2"/>
  <c r="R11" i="2" s="1"/>
  <c r="K479" i="2"/>
  <c r="H17" i="2"/>
  <c r="P17" i="2" s="1"/>
  <c r="K47" i="2"/>
  <c r="S47" i="2" s="1"/>
  <c r="I14" i="2"/>
  <c r="Q14" i="2" s="1"/>
  <c r="I60" i="2"/>
  <c r="Q60" i="2" s="1"/>
  <c r="K13" i="2"/>
  <c r="S13" i="2" s="1"/>
  <c r="K8" i="2"/>
  <c r="S8" i="2" s="1"/>
  <c r="L398" i="2"/>
  <c r="G13" i="2"/>
  <c r="J46" i="2"/>
  <c r="R46" i="2" s="1"/>
  <c r="H39" i="2"/>
  <c r="P39" i="2" s="1"/>
  <c r="H34" i="2"/>
  <c r="P34" i="2" s="1"/>
  <c r="K69" i="2"/>
  <c r="S69" i="2" s="1"/>
  <c r="K411" i="2"/>
  <c r="J355" i="2"/>
  <c r="G29" i="2"/>
  <c r="J52" i="2"/>
  <c r="R52" i="2" s="1"/>
  <c r="I28" i="2"/>
  <c r="Q28" i="2" s="1"/>
  <c r="K326" i="2"/>
  <c r="K342" i="2"/>
  <c r="G46" i="2"/>
  <c r="G22" i="2"/>
  <c r="H21" i="2"/>
  <c r="P21" i="2" s="1"/>
  <c r="H26" i="2"/>
  <c r="P26" i="2" s="1"/>
  <c r="J28" i="2"/>
  <c r="R28" i="2" s="1"/>
  <c r="K29" i="2"/>
  <c r="S29" i="2" s="1"/>
  <c r="K3" i="2"/>
  <c r="S3" i="2" s="1"/>
  <c r="K42" i="2"/>
  <c r="S42" i="2" s="1"/>
  <c r="K399" i="2"/>
  <c r="H30" i="2"/>
  <c r="P30" i="2" s="1"/>
  <c r="H49" i="2"/>
  <c r="P49" i="2" s="1"/>
  <c r="J428" i="2"/>
  <c r="I20" i="2"/>
  <c r="Q20" i="2" s="1"/>
  <c r="J22" i="2"/>
  <c r="R22" i="2" s="1"/>
  <c r="G10" i="2"/>
  <c r="H6" i="2"/>
  <c r="P6" i="2" s="1"/>
  <c r="J18" i="2"/>
  <c r="R18" i="2" s="1"/>
  <c r="K31" i="2"/>
  <c r="S31" i="2" s="1"/>
  <c r="J42" i="2"/>
  <c r="R42" i="2" s="1"/>
  <c r="K17" i="2"/>
  <c r="S17" i="2" s="1"/>
  <c r="K11" i="2"/>
  <c r="S11" i="2" s="1"/>
  <c r="K502" i="2"/>
  <c r="H46" i="2"/>
  <c r="P46" i="2" s="1"/>
  <c r="H42" i="2"/>
  <c r="P42" i="2" s="1"/>
  <c r="K447" i="2"/>
  <c r="L41" i="2"/>
  <c r="T41" i="2" s="1"/>
  <c r="J7" i="2"/>
  <c r="R7" i="2" s="1"/>
  <c r="H24" i="2"/>
  <c r="P24" i="2" s="1"/>
  <c r="J12" i="2"/>
  <c r="R12" i="2" s="1"/>
  <c r="J4" i="2"/>
  <c r="R4" i="2" s="1"/>
  <c r="J44" i="2"/>
  <c r="R44" i="2" s="1"/>
  <c r="K45" i="2"/>
  <c r="S45" i="2" s="1"/>
  <c r="J34" i="2"/>
  <c r="R34" i="2" s="1"/>
  <c r="K15" i="2"/>
  <c r="S15" i="2" s="1"/>
  <c r="I425" i="2"/>
  <c r="H43" i="2"/>
  <c r="P43" i="2" s="1"/>
  <c r="H27" i="2"/>
  <c r="P27" i="2" s="1"/>
  <c r="J396" i="2"/>
  <c r="L49" i="2"/>
  <c r="T49" i="2" s="1"/>
  <c r="J492" i="2"/>
  <c r="I491" i="2"/>
  <c r="I368" i="2"/>
  <c r="I469" i="2"/>
  <c r="H402" i="2"/>
  <c r="I23" i="2"/>
  <c r="Q23" i="2" s="1"/>
  <c r="I55" i="2"/>
  <c r="Q55" i="2" s="1"/>
  <c r="I8" i="2"/>
  <c r="Q8" i="2" s="1"/>
  <c r="H33" i="2"/>
  <c r="P33" i="2" s="1"/>
  <c r="K23" i="2"/>
  <c r="S23" i="2" s="1"/>
  <c r="H9" i="2"/>
  <c r="P9" i="2" s="1"/>
  <c r="K10" i="2"/>
  <c r="S10" i="2" s="1"/>
  <c r="G27" i="2"/>
  <c r="J24" i="2"/>
  <c r="R24" i="2" s="1"/>
  <c r="K48" i="2"/>
  <c r="S48" i="2" s="1"/>
  <c r="G15" i="2"/>
  <c r="I41" i="2"/>
  <c r="Q41" i="2" s="1"/>
  <c r="J31" i="2"/>
  <c r="R31" i="2" s="1"/>
  <c r="K37" i="2"/>
  <c r="S37" i="2" s="1"/>
  <c r="I43" i="2"/>
  <c r="Q43" i="2" s="1"/>
  <c r="K70" i="2"/>
  <c r="S70" i="2" s="1"/>
  <c r="L69" i="2"/>
  <c r="T69" i="2" s="1"/>
  <c r="L56" i="2"/>
  <c r="T56" i="2" s="1"/>
  <c r="L462" i="2"/>
  <c r="J444" i="2"/>
  <c r="J494" i="2"/>
  <c r="L26" i="2"/>
  <c r="T26" i="2" s="1"/>
  <c r="J66" i="2"/>
  <c r="R66" i="2" s="1"/>
  <c r="J424" i="2"/>
  <c r="L482" i="2"/>
  <c r="J23" i="2"/>
  <c r="R23" i="2" s="1"/>
  <c r="J15" i="2"/>
  <c r="R15" i="2" s="1"/>
  <c r="J5" i="2"/>
  <c r="R5" i="2" s="1"/>
  <c r="J9" i="2"/>
  <c r="R9" i="2" s="1"/>
  <c r="K28" i="2"/>
  <c r="S28" i="2" s="1"/>
  <c r="K14" i="2"/>
  <c r="S14" i="2" s="1"/>
  <c r="J43" i="2"/>
  <c r="R43" i="2" s="1"/>
  <c r="K39" i="2"/>
  <c r="S39" i="2" s="1"/>
  <c r="I15" i="2"/>
  <c r="Q15" i="2" s="1"/>
  <c r="G43" i="2"/>
  <c r="G47" i="2"/>
  <c r="J488" i="2"/>
  <c r="J63" i="2"/>
  <c r="R63" i="2" s="1"/>
  <c r="J8" i="2"/>
  <c r="R8" i="2" s="1"/>
  <c r="H10" i="2"/>
  <c r="P10" i="2" s="1"/>
  <c r="H23" i="2"/>
  <c r="P23" i="2" s="1"/>
  <c r="J19" i="2"/>
  <c r="R19" i="2" s="1"/>
  <c r="J41" i="2"/>
  <c r="R41" i="2" s="1"/>
  <c r="J35" i="2"/>
  <c r="R35" i="2" s="1"/>
  <c r="K46" i="2"/>
  <c r="S46" i="2" s="1"/>
  <c r="K20" i="2"/>
  <c r="S20" i="2" s="1"/>
  <c r="H14" i="2"/>
  <c r="P14" i="2" s="1"/>
  <c r="G12" i="2"/>
  <c r="G24" i="2"/>
  <c r="H450" i="2"/>
  <c r="L10" i="2"/>
  <c r="T10" i="2" s="1"/>
  <c r="H18" i="2"/>
  <c r="P18" i="2" s="1"/>
  <c r="J16" i="2"/>
  <c r="R16" i="2" s="1"/>
  <c r="J13" i="2"/>
  <c r="R13" i="2" s="1"/>
  <c r="K9" i="2"/>
  <c r="S9" i="2" s="1"/>
  <c r="K32" i="2"/>
  <c r="S32" i="2" s="1"/>
  <c r="K38" i="2"/>
  <c r="S38" i="2" s="1"/>
  <c r="K36" i="2"/>
  <c r="S36" i="2" s="1"/>
  <c r="J33" i="2"/>
  <c r="R33" i="2" s="1"/>
  <c r="H16" i="2"/>
  <c r="P16" i="2" s="1"/>
  <c r="G36" i="2"/>
  <c r="G40" i="2"/>
  <c r="I437" i="2"/>
  <c r="L18" i="2"/>
  <c r="T18" i="2" s="1"/>
  <c r="I304" i="2"/>
  <c r="K415" i="2"/>
  <c r="K500" i="2"/>
  <c r="I453" i="2"/>
  <c r="H365" i="2"/>
  <c r="H32" i="2"/>
  <c r="P32" i="2" s="1"/>
  <c r="I59" i="2"/>
  <c r="Q59" i="2" s="1"/>
  <c r="L21" i="2"/>
  <c r="T21" i="2" s="1"/>
  <c r="J55" i="2"/>
  <c r="R55" i="2" s="1"/>
  <c r="I9" i="2"/>
  <c r="Q9" i="2" s="1"/>
  <c r="H50" i="2"/>
  <c r="P50" i="2" s="1"/>
  <c r="L66" i="2"/>
  <c r="T66" i="2" s="1"/>
  <c r="J73" i="2"/>
  <c r="R73" i="2" s="1"/>
  <c r="L87" i="2"/>
  <c r="T87" i="2" s="1"/>
  <c r="K100" i="2"/>
  <c r="I489" i="2"/>
  <c r="L402" i="2"/>
  <c r="K499" i="2"/>
  <c r="L446" i="2"/>
  <c r="I352" i="2"/>
  <c r="L32" i="2"/>
  <c r="T32" i="2" s="1"/>
  <c r="L60" i="2"/>
  <c r="T60" i="2" s="1"/>
  <c r="I24" i="2"/>
  <c r="Q24" i="2" s="1"/>
  <c r="I56" i="2"/>
  <c r="Q56" i="2" s="1"/>
  <c r="K25" i="2"/>
  <c r="S25" i="2" s="1"/>
  <c r="H25" i="2"/>
  <c r="P25" i="2" s="1"/>
  <c r="J49" i="2"/>
  <c r="R49" i="2" s="1"/>
  <c r="H22" i="2"/>
  <c r="P22" i="2" s="1"/>
  <c r="K22" i="2"/>
  <c r="S22" i="2" s="1"/>
  <c r="G31" i="2"/>
  <c r="H11" i="2"/>
  <c r="P11" i="2" s="1"/>
  <c r="K19" i="2"/>
  <c r="S19" i="2" s="1"/>
  <c r="G21" i="2"/>
  <c r="G3" i="2"/>
  <c r="K27" i="2"/>
  <c r="S27" i="2" s="1"/>
  <c r="G14" i="2"/>
  <c r="K71" i="2"/>
  <c r="S71" i="2" s="1"/>
  <c r="J68" i="2"/>
  <c r="R68" i="2" s="1"/>
  <c r="H57" i="2"/>
  <c r="P57" i="2" s="1"/>
  <c r="I35" i="2"/>
  <c r="Q35" i="2" s="1"/>
  <c r="J498" i="2"/>
  <c r="H47" i="2"/>
  <c r="P47" i="2" s="1"/>
  <c r="H59" i="2"/>
  <c r="P59" i="2" s="1"/>
  <c r="K66" i="2"/>
  <c r="S66" i="2" s="1"/>
  <c r="K53" i="2"/>
  <c r="S53" i="2" s="1"/>
  <c r="K475" i="2"/>
  <c r="L450" i="2"/>
  <c r="J17" i="2"/>
  <c r="R17" i="2" s="1"/>
  <c r="J21" i="2"/>
  <c r="R21" i="2" s="1"/>
  <c r="G23" i="2"/>
  <c r="J38" i="2"/>
  <c r="R38" i="2" s="1"/>
  <c r="J29" i="2"/>
  <c r="R29" i="2" s="1"/>
  <c r="J32" i="2"/>
  <c r="R32" i="2" s="1"/>
  <c r="K21" i="2"/>
  <c r="S21" i="2" s="1"/>
  <c r="K40" i="2"/>
  <c r="S40" i="2" s="1"/>
  <c r="G16" i="2"/>
  <c r="G41" i="2"/>
  <c r="G30" i="2"/>
  <c r="L377" i="2"/>
  <c r="I49" i="2"/>
  <c r="Q49" i="2" s="1"/>
  <c r="J25" i="2"/>
  <c r="R25" i="2" s="1"/>
  <c r="H19" i="2"/>
  <c r="P19" i="2" s="1"/>
  <c r="G4" i="2"/>
  <c r="K41" i="2"/>
  <c r="S41" i="2" s="1"/>
  <c r="K30" i="2"/>
  <c r="S30" i="2" s="1"/>
  <c r="K35" i="2"/>
  <c r="S35" i="2" s="1"/>
  <c r="J30" i="2"/>
  <c r="R30" i="2" s="1"/>
  <c r="K16" i="2"/>
  <c r="S16" i="2" s="1"/>
  <c r="I16" i="2"/>
  <c r="Q16" i="2" s="1"/>
  <c r="G18" i="2"/>
  <c r="H13" i="2"/>
  <c r="P13" i="2" s="1"/>
  <c r="I11" i="2"/>
  <c r="Q11" i="2" s="1"/>
  <c r="L58" i="2"/>
  <c r="T58" i="2" s="1"/>
  <c r="H7" i="2"/>
  <c r="P7" i="2" s="1"/>
  <c r="H4" i="2"/>
  <c r="P4" i="2" s="1"/>
  <c r="G20" i="2"/>
  <c r="K18" i="2"/>
  <c r="S18" i="2" s="1"/>
  <c r="K7" i="2"/>
  <c r="S7" i="2" s="1"/>
  <c r="J48" i="2"/>
  <c r="R48" i="2" s="1"/>
  <c r="K33" i="2"/>
  <c r="S33" i="2" s="1"/>
  <c r="J3" i="2"/>
  <c r="R3" i="2" s="1"/>
  <c r="H15" i="2"/>
  <c r="P15" i="2" s="1"/>
  <c r="G42" i="2"/>
  <c r="H29" i="2"/>
  <c r="P29" i="2" s="1"/>
  <c r="L20" i="2"/>
  <c r="T20" i="2" s="1"/>
  <c r="H62" i="2"/>
  <c r="P62" i="2" s="1"/>
  <c r="H381" i="2"/>
  <c r="L501" i="2"/>
  <c r="I495" i="2"/>
  <c r="H434" i="2"/>
  <c r="H301" i="2"/>
  <c r="L40" i="2"/>
  <c r="T40" i="2" s="1"/>
  <c r="H64" i="2"/>
  <c r="P64" i="2" s="1"/>
  <c r="I32" i="2"/>
  <c r="Q32" i="2" s="1"/>
  <c r="J59" i="2"/>
  <c r="R59" i="2" s="1"/>
  <c r="I21" i="2"/>
  <c r="Q21" i="2" s="1"/>
  <c r="H54" i="2"/>
  <c r="P54" i="2" s="1"/>
  <c r="L70" i="2"/>
  <c r="T70" i="2" s="1"/>
  <c r="I78" i="2"/>
  <c r="Q78" i="2" s="1"/>
  <c r="H91" i="2"/>
  <c r="P91" i="2" s="1"/>
  <c r="L103" i="2"/>
  <c r="J258" i="2"/>
  <c r="K497" i="2"/>
  <c r="I493" i="2"/>
  <c r="L430" i="2"/>
  <c r="L286" i="2"/>
  <c r="L44" i="2"/>
  <c r="T44" i="2" s="1"/>
  <c r="L64" i="2"/>
  <c r="T64" i="2" s="1"/>
  <c r="L33" i="2"/>
  <c r="T33" i="2" s="1"/>
  <c r="L9" i="2"/>
  <c r="T9" i="2" s="1"/>
  <c r="G7" i="2"/>
  <c r="K24" i="2"/>
  <c r="S24" i="2" s="1"/>
  <c r="I36" i="2"/>
  <c r="Q36" i="2" s="1"/>
  <c r="I65" i="2"/>
  <c r="Q65" i="2" s="1"/>
  <c r="H38" i="2"/>
  <c r="P38" i="2" s="1"/>
  <c r="K34" i="2"/>
  <c r="S34" i="2" s="1"/>
  <c r="J50" i="2"/>
  <c r="R50" i="2" s="1"/>
  <c r="L48" i="2"/>
  <c r="T48" i="2" s="1"/>
  <c r="H8" i="2"/>
  <c r="P8" i="2" s="1"/>
  <c r="K6" i="2"/>
  <c r="S6" i="2" s="1"/>
  <c r="L498" i="2"/>
  <c r="H5" i="2"/>
  <c r="P5" i="2" s="1"/>
  <c r="K44" i="2"/>
  <c r="S44" i="2" s="1"/>
  <c r="H40" i="2"/>
  <c r="P40" i="2" s="1"/>
  <c r="K431" i="2"/>
  <c r="L8" i="2"/>
  <c r="T8" i="2" s="1"/>
  <c r="J51" i="2"/>
  <c r="R51" i="2" s="1"/>
  <c r="L38" i="2"/>
  <c r="T38" i="2" s="1"/>
  <c r="J65" i="2"/>
  <c r="R65" i="2" s="1"/>
  <c r="J97" i="2"/>
  <c r="R97" i="2" s="1"/>
  <c r="L466" i="2"/>
  <c r="H466" i="2"/>
  <c r="L24" i="2"/>
  <c r="T24" i="2" s="1"/>
  <c r="I12" i="2"/>
  <c r="Q12" i="2" s="1"/>
  <c r="H65" i="2"/>
  <c r="P65" i="2" s="1"/>
  <c r="I33" i="2"/>
  <c r="Q33" i="2" s="1"/>
  <c r="K59" i="2"/>
  <c r="S59" i="2" s="1"/>
  <c r="K52" i="2"/>
  <c r="S52" i="2" s="1"/>
  <c r="I82" i="2"/>
  <c r="Q82" i="2" s="1"/>
  <c r="H95" i="2"/>
  <c r="P95" i="2" s="1"/>
  <c r="L107" i="2"/>
  <c r="K120" i="2"/>
  <c r="H72" i="2"/>
  <c r="P72" i="2" s="1"/>
  <c r="L84" i="2"/>
  <c r="T84" i="2" s="1"/>
  <c r="K97" i="2"/>
  <c r="S97" i="2" s="1"/>
  <c r="J110" i="2"/>
  <c r="L329" i="2"/>
  <c r="L499" i="2"/>
  <c r="H422" i="2"/>
  <c r="L478" i="2"/>
  <c r="J408" i="2"/>
  <c r="L16" i="2"/>
  <c r="T16" i="2" s="1"/>
  <c r="L52" i="2"/>
  <c r="T52" i="2" s="1"/>
  <c r="I4" i="2"/>
  <c r="Q4" i="2" s="1"/>
  <c r="L45" i="2"/>
  <c r="T45" i="2" s="1"/>
  <c r="L65" i="2"/>
  <c r="T65" i="2" s="1"/>
  <c r="L34" i="2"/>
  <c r="T34" i="2" s="1"/>
  <c r="J60" i="2"/>
  <c r="R60" i="2" s="1"/>
  <c r="L55" i="2"/>
  <c r="T55" i="2" s="1"/>
  <c r="H83" i="2"/>
  <c r="P83" i="2" s="1"/>
  <c r="L95" i="2"/>
  <c r="T95" i="2" s="1"/>
  <c r="K108" i="2"/>
  <c r="J121" i="2"/>
  <c r="L72" i="2"/>
  <c r="T72" i="2" s="1"/>
  <c r="K85" i="2"/>
  <c r="S85" i="2" s="1"/>
  <c r="J98" i="2"/>
  <c r="R98" i="2" s="1"/>
  <c r="I111" i="2"/>
  <c r="I393" i="2"/>
  <c r="I389" i="2"/>
  <c r="K54" i="2"/>
  <c r="S54" i="2" s="1"/>
  <c r="K72" i="2"/>
  <c r="S72" i="2" s="1"/>
  <c r="K116" i="2"/>
  <c r="L80" i="2"/>
  <c r="T80" i="2" s="1"/>
  <c r="J106" i="2"/>
  <c r="H51" i="2"/>
  <c r="P51" i="2" s="1"/>
  <c r="K78" i="2"/>
  <c r="S78" i="2" s="1"/>
  <c r="J91" i="2"/>
  <c r="R91" i="2" s="1"/>
  <c r="I104" i="2"/>
  <c r="H117" i="2"/>
  <c r="H90" i="2"/>
  <c r="P90" i="2" s="1"/>
  <c r="H127" i="2"/>
  <c r="L139" i="2"/>
  <c r="K152" i="2"/>
  <c r="J165" i="2"/>
  <c r="I291" i="2"/>
  <c r="I39" i="2"/>
  <c r="Q39" i="2" s="1"/>
  <c r="I17" i="2"/>
  <c r="Q17" i="2" s="1"/>
  <c r="I90" i="2"/>
  <c r="Q90" i="2" s="1"/>
  <c r="I34" i="2"/>
  <c r="Q34" i="2" s="1"/>
  <c r="K89" i="2"/>
  <c r="S89" i="2" s="1"/>
  <c r="I115" i="2"/>
  <c r="H67" i="2"/>
  <c r="P67" i="2" s="1"/>
  <c r="K82" i="2"/>
  <c r="S82" i="2" s="1"/>
  <c r="J95" i="2"/>
  <c r="R95" i="2" s="1"/>
  <c r="J20" i="2"/>
  <c r="R20" i="2" s="1"/>
  <c r="H3" i="2"/>
  <c r="P3" i="2" s="1"/>
  <c r="H45" i="2"/>
  <c r="P45" i="2" s="1"/>
  <c r="K245" i="2"/>
  <c r="L53" i="2"/>
  <c r="T53" i="2" s="1"/>
  <c r="G19" i="2"/>
  <c r="J40" i="2"/>
  <c r="R40" i="2" s="1"/>
  <c r="J194" i="2"/>
  <c r="L39" i="2"/>
  <c r="T39" i="2" s="1"/>
  <c r="J47" i="2"/>
  <c r="R47" i="2" s="1"/>
  <c r="J27" i="2"/>
  <c r="R27" i="2" s="1"/>
  <c r="H60" i="2"/>
  <c r="P60" i="2" s="1"/>
  <c r="J14" i="2"/>
  <c r="R14" i="2" s="1"/>
  <c r="K26" i="2"/>
  <c r="S26" i="2" s="1"/>
  <c r="J412" i="2"/>
  <c r="J460" i="2"/>
  <c r="I51" i="2"/>
  <c r="Q51" i="2" s="1"/>
  <c r="I64" i="2"/>
  <c r="Q64" i="2" s="1"/>
  <c r="H58" i="2"/>
  <c r="P58" i="2" s="1"/>
  <c r="J81" i="2"/>
  <c r="R81" i="2" s="1"/>
  <c r="H107" i="2"/>
  <c r="L434" i="2"/>
  <c r="L414" i="2"/>
  <c r="H52" i="2"/>
  <c r="P52" i="2" s="1"/>
  <c r="I44" i="2"/>
  <c r="Q44" i="2" s="1"/>
  <c r="H69" i="2"/>
  <c r="P69" i="2" s="1"/>
  <c r="L42" i="2"/>
  <c r="T42" i="2" s="1"/>
  <c r="K63" i="2"/>
  <c r="S63" i="2" s="1"/>
  <c r="K68" i="2"/>
  <c r="S68" i="2" s="1"/>
  <c r="J85" i="2"/>
  <c r="R85" i="2" s="1"/>
  <c r="I98" i="2"/>
  <c r="Q98" i="2" s="1"/>
  <c r="H111" i="2"/>
  <c r="L27" i="2"/>
  <c r="T27" i="2" s="1"/>
  <c r="I75" i="2"/>
  <c r="Q75" i="2" s="1"/>
  <c r="H88" i="2"/>
  <c r="P88" i="2" s="1"/>
  <c r="L100" i="2"/>
  <c r="K113" i="2"/>
  <c r="L418" i="2"/>
  <c r="H454" i="2"/>
  <c r="I207" i="2"/>
  <c r="K459" i="2"/>
  <c r="J392" i="2"/>
  <c r="I27" i="2"/>
  <c r="Q27" i="2" s="1"/>
  <c r="K57" i="2"/>
  <c r="S57" i="2" s="1"/>
  <c r="L13" i="2"/>
  <c r="T13" i="2" s="1"/>
  <c r="H53" i="2"/>
  <c r="P53" i="2" s="1"/>
  <c r="I5" i="2"/>
  <c r="Q5" i="2" s="1"/>
  <c r="I45" i="2"/>
  <c r="Q45" i="2" s="1"/>
  <c r="J64" i="2"/>
  <c r="R64" i="2" s="1"/>
  <c r="L71" i="2"/>
  <c r="T71" i="2" s="1"/>
  <c r="I86" i="2"/>
  <c r="Q86" i="2" s="1"/>
  <c r="H99" i="2"/>
  <c r="L111" i="2"/>
  <c r="H31" i="2"/>
  <c r="P31" i="2" s="1"/>
  <c r="H76" i="2"/>
  <c r="P76" i="2" s="1"/>
  <c r="L88" i="2"/>
  <c r="T88" i="2" s="1"/>
  <c r="K101" i="2"/>
  <c r="J114" i="2"/>
  <c r="I441" i="2"/>
  <c r="I31" i="2"/>
  <c r="Q31" i="2" s="1"/>
  <c r="L6" i="2"/>
  <c r="T6" i="2" s="1"/>
  <c r="H87" i="2"/>
  <c r="P87" i="2" s="1"/>
  <c r="I18" i="2"/>
  <c r="Q18" i="2" s="1"/>
  <c r="I87" i="2"/>
  <c r="Q87" i="2" s="1"/>
  <c r="L112" i="2"/>
  <c r="L63" i="2"/>
  <c r="T63" i="2" s="1"/>
  <c r="L81" i="2"/>
  <c r="T81" i="2" s="1"/>
  <c r="K94" i="2"/>
  <c r="S94" i="2" s="1"/>
  <c r="J107" i="2"/>
  <c r="I120" i="2"/>
  <c r="L102" i="2"/>
  <c r="I130" i="2"/>
  <c r="H143" i="2"/>
  <c r="L155" i="2"/>
  <c r="K168" i="2"/>
  <c r="J496" i="2"/>
  <c r="J62" i="2"/>
  <c r="R62" i="2" s="1"/>
  <c r="I53" i="2"/>
  <c r="Q53" i="2" s="1"/>
  <c r="H103" i="2"/>
  <c r="J69" i="2"/>
  <c r="R69" i="2" s="1"/>
  <c r="H96" i="2"/>
  <c r="P96" i="2" s="1"/>
  <c r="K121" i="2"/>
  <c r="H73" i="2"/>
  <c r="P73" i="2" s="1"/>
  <c r="L85" i="2"/>
  <c r="T85" i="2" s="1"/>
  <c r="K98" i="2"/>
  <c r="S98" i="2" s="1"/>
  <c r="H37" i="2"/>
  <c r="P37" i="2" s="1"/>
  <c r="J36" i="2"/>
  <c r="R36" i="2" s="1"/>
  <c r="G45" i="2"/>
  <c r="J6" i="2"/>
  <c r="R6" i="2" s="1"/>
  <c r="J493" i="2"/>
  <c r="L28" i="2"/>
  <c r="T28" i="2" s="1"/>
  <c r="H20" i="2"/>
  <c r="P20" i="2" s="1"/>
  <c r="J37" i="2"/>
  <c r="R37" i="2" s="1"/>
  <c r="H35" i="2"/>
  <c r="P35" i="2" s="1"/>
  <c r="G9" i="2"/>
  <c r="K43" i="2"/>
  <c r="S43" i="2" s="1"/>
  <c r="H28" i="2"/>
  <c r="P28" i="2" s="1"/>
  <c r="I74" i="2"/>
  <c r="Q74" i="2" s="1"/>
  <c r="K50" i="2"/>
  <c r="S50" i="2" s="1"/>
  <c r="K4" i="2"/>
  <c r="S4" i="2" s="1"/>
  <c r="I63" i="2"/>
  <c r="Q63" i="2" s="1"/>
  <c r="I485" i="2"/>
  <c r="H68" i="2"/>
  <c r="P68" i="2" s="1"/>
  <c r="I68" i="2"/>
  <c r="Q68" i="2" s="1"/>
  <c r="L62" i="2"/>
  <c r="T62" i="2" s="1"/>
  <c r="K84" i="2"/>
  <c r="S84" i="2" s="1"/>
  <c r="H470" i="2"/>
  <c r="H317" i="2"/>
  <c r="K395" i="2"/>
  <c r="H56" i="2"/>
  <c r="P56" i="2" s="1"/>
  <c r="I52" i="2"/>
  <c r="Q52" i="2" s="1"/>
  <c r="I13" i="2"/>
  <c r="Q13" i="2" s="1"/>
  <c r="L50" i="2"/>
  <c r="T50" i="2" s="1"/>
  <c r="K67" i="2"/>
  <c r="S67" i="2" s="1"/>
  <c r="H75" i="2"/>
  <c r="P75" i="2" s="1"/>
  <c r="K88" i="2"/>
  <c r="S88" i="2" s="1"/>
  <c r="J101" i="2"/>
  <c r="I114" i="2"/>
  <c r="I50" i="2"/>
  <c r="Q50" i="2" s="1"/>
  <c r="J78" i="2"/>
  <c r="R78" i="2" s="1"/>
  <c r="I91" i="2"/>
  <c r="Q91" i="2" s="1"/>
  <c r="H104" i="2"/>
  <c r="L116" i="2"/>
  <c r="K463" i="2"/>
  <c r="H390" i="2"/>
  <c r="J497" i="2"/>
  <c r="K443" i="2"/>
  <c r="J339" i="2"/>
  <c r="L36" i="2"/>
  <c r="T36" i="2" s="1"/>
  <c r="K61" i="2"/>
  <c r="S61" i="2" s="1"/>
  <c r="L25" i="2"/>
  <c r="T25" i="2" s="1"/>
  <c r="L57" i="2"/>
  <c r="T57" i="2" s="1"/>
  <c r="L14" i="2"/>
  <c r="T14" i="2" s="1"/>
  <c r="K51" i="2"/>
  <c r="S51" i="2" s="1"/>
  <c r="I69" i="2"/>
  <c r="Q69" i="2" s="1"/>
  <c r="L75" i="2"/>
  <c r="T75" i="2" s="1"/>
  <c r="J89" i="2"/>
  <c r="R89" i="2" s="1"/>
  <c r="I102" i="2"/>
  <c r="H115" i="2"/>
  <c r="J53" i="2"/>
  <c r="R53" i="2" s="1"/>
  <c r="I79" i="2"/>
  <c r="Q79" i="2" s="1"/>
  <c r="H92" i="2"/>
  <c r="P92" i="2" s="1"/>
  <c r="L104" i="2"/>
  <c r="K117" i="2"/>
  <c r="K501" i="2"/>
  <c r="J58" i="2"/>
  <c r="R58" i="2" s="1"/>
  <c r="L46" i="2"/>
  <c r="T46" i="2" s="1"/>
  <c r="L99" i="2"/>
  <c r="L59" i="2"/>
  <c r="T59" i="2" s="1"/>
  <c r="K93" i="2"/>
  <c r="S93" i="2" s="1"/>
  <c r="J10" i="2"/>
  <c r="R10" i="2" s="1"/>
  <c r="G26" i="2"/>
  <c r="K12" i="2"/>
  <c r="S12" i="2" s="1"/>
  <c r="H44" i="2"/>
  <c r="P44" i="2" s="1"/>
  <c r="L30" i="2"/>
  <c r="T30" i="2" s="1"/>
  <c r="H482" i="2"/>
  <c r="L22" i="2"/>
  <c r="T22" i="2" s="1"/>
  <c r="L91" i="2"/>
  <c r="T91" i="2" s="1"/>
  <c r="K81" i="2"/>
  <c r="S81" i="2" s="1"/>
  <c r="K496" i="2"/>
  <c r="L4" i="2"/>
  <c r="T4" i="2" s="1"/>
  <c r="L61" i="2"/>
  <c r="T61" i="2" s="1"/>
  <c r="L79" i="2"/>
  <c r="T79" i="2" s="1"/>
  <c r="I66" i="2"/>
  <c r="Q66" i="2" s="1"/>
  <c r="L120" i="2"/>
  <c r="I110" i="2"/>
  <c r="I22" i="2"/>
  <c r="Q22" i="2" s="1"/>
  <c r="I88" i="2"/>
  <c r="Q88" i="2" s="1"/>
  <c r="L113" i="2"/>
  <c r="L123" i="2"/>
  <c r="J149" i="2"/>
  <c r="H438" i="2"/>
  <c r="K58" i="2"/>
  <c r="S58" i="2" s="1"/>
  <c r="H119" i="2"/>
  <c r="L108" i="2"/>
  <c r="J79" i="2"/>
  <c r="R79" i="2" s="1"/>
  <c r="H105" i="2"/>
  <c r="L117" i="2"/>
  <c r="I93" i="2"/>
  <c r="Q93" i="2" s="1"/>
  <c r="L127" i="2"/>
  <c r="K140" i="2"/>
  <c r="J153" i="2"/>
  <c r="I166" i="2"/>
  <c r="K87" i="2"/>
  <c r="S87" i="2" s="1"/>
  <c r="J126" i="2"/>
  <c r="I139" i="2"/>
  <c r="H152" i="2"/>
  <c r="L164" i="2"/>
  <c r="H491" i="2"/>
  <c r="I67" i="2"/>
  <c r="Q67" i="2" s="1"/>
  <c r="I57" i="2"/>
  <c r="Q57" i="2" s="1"/>
  <c r="I106" i="2"/>
  <c r="H71" i="2"/>
  <c r="P71" i="2" s="1"/>
  <c r="L96" i="2"/>
  <c r="T96" i="2" s="1"/>
  <c r="I6" i="2"/>
  <c r="Q6" i="2" s="1"/>
  <c r="L73" i="2"/>
  <c r="T73" i="2" s="1"/>
  <c r="K86" i="2"/>
  <c r="S86" i="2" s="1"/>
  <c r="J99" i="2"/>
  <c r="I112" i="2"/>
  <c r="J70" i="2"/>
  <c r="R70" i="2" s="1"/>
  <c r="H122" i="2"/>
  <c r="H135" i="2"/>
  <c r="L147" i="2"/>
  <c r="K160" i="2"/>
  <c r="L35" i="2"/>
  <c r="T35" i="2" s="1"/>
  <c r="J116" i="2"/>
  <c r="K133" i="2"/>
  <c r="J146" i="2"/>
  <c r="K55" i="2"/>
  <c r="S55" i="2" s="1"/>
  <c r="K49" i="2"/>
  <c r="S49" i="2" s="1"/>
  <c r="J476" i="2"/>
  <c r="J77" i="2"/>
  <c r="R77" i="2" s="1"/>
  <c r="I46" i="2"/>
  <c r="Q46" i="2" s="1"/>
  <c r="L12" i="2"/>
  <c r="T12" i="2" s="1"/>
  <c r="L54" i="2"/>
  <c r="T54" i="2" s="1"/>
  <c r="K104" i="2"/>
  <c r="J94" i="2"/>
  <c r="R94" i="2" s="1"/>
  <c r="H486" i="2"/>
  <c r="I47" i="2"/>
  <c r="Q47" i="2" s="1"/>
  <c r="I25" i="2"/>
  <c r="Q25" i="2" s="1"/>
  <c r="K92" i="2"/>
  <c r="S92" i="2" s="1"/>
  <c r="J82" i="2"/>
  <c r="R82" i="2" s="1"/>
  <c r="J456" i="2"/>
  <c r="J74" i="2"/>
  <c r="R74" i="2" s="1"/>
  <c r="I72" i="2"/>
  <c r="Q72" i="2" s="1"/>
  <c r="L97" i="2"/>
  <c r="T97" i="2" s="1"/>
  <c r="L19" i="2"/>
  <c r="T19" i="2" s="1"/>
  <c r="J133" i="2"/>
  <c r="H159" i="2"/>
  <c r="J440" i="2"/>
  <c r="H70" i="2"/>
  <c r="P70" i="2" s="1"/>
  <c r="L76" i="2"/>
  <c r="T76" i="2" s="1"/>
  <c r="L31" i="2"/>
  <c r="T31" i="2" s="1"/>
  <c r="H89" i="2"/>
  <c r="P89" i="2" s="1"/>
  <c r="I108" i="2"/>
  <c r="H121" i="2"/>
  <c r="H106" i="2"/>
  <c r="H131" i="2"/>
  <c r="L143" i="2"/>
  <c r="K156" i="2"/>
  <c r="J169" i="2"/>
  <c r="J100" i="2"/>
  <c r="K129" i="2"/>
  <c r="J142" i="2"/>
  <c r="I155" i="2"/>
  <c r="H168" i="2"/>
  <c r="I421" i="2"/>
  <c r="I40" i="2"/>
  <c r="Q40" i="2" s="1"/>
  <c r="I30" i="2"/>
  <c r="Q30" i="2" s="1"/>
  <c r="J113" i="2"/>
  <c r="K77" i="2"/>
  <c r="S77" i="2" s="1"/>
  <c r="I103" i="2"/>
  <c r="I38" i="2"/>
  <c r="Q38" i="2" s="1"/>
  <c r="H77" i="2"/>
  <c r="P77" i="2" s="1"/>
  <c r="L89" i="2"/>
  <c r="T89" i="2" s="1"/>
  <c r="K102" i="2"/>
  <c r="J115" i="2"/>
  <c r="K83" i="2"/>
  <c r="S83" i="2" s="1"/>
  <c r="J125" i="2"/>
  <c r="I138" i="2"/>
  <c r="H151" i="2"/>
  <c r="L163" i="2"/>
  <c r="H78" i="2"/>
  <c r="P78" i="2" s="1"/>
  <c r="H124" i="2"/>
  <c r="L136" i="2"/>
  <c r="K149" i="2"/>
  <c r="J162" i="2"/>
  <c r="J67" i="2"/>
  <c r="R67" i="2" s="1"/>
  <c r="H112" i="2"/>
  <c r="K106" i="2"/>
  <c r="I142" i="2"/>
  <c r="L106" i="2"/>
  <c r="H144" i="2"/>
  <c r="L168" i="2"/>
  <c r="L94" i="2"/>
  <c r="T94" i="2" s="1"/>
  <c r="I128" i="2"/>
  <c r="H141" i="2"/>
  <c r="L153" i="2"/>
  <c r="K166" i="2"/>
  <c r="K131" i="2"/>
  <c r="J175" i="2"/>
  <c r="I188" i="2"/>
  <c r="I409" i="2"/>
  <c r="K56" i="2"/>
  <c r="S56" i="2" s="1"/>
  <c r="I84" i="2"/>
  <c r="Q84" i="2" s="1"/>
  <c r="J112" i="2"/>
  <c r="H171" i="2"/>
  <c r="H132" i="2"/>
  <c r="K157" i="2"/>
  <c r="J72" i="2"/>
  <c r="R72" i="2" s="1"/>
  <c r="J122" i="2"/>
  <c r="J135" i="2"/>
  <c r="I148" i="2"/>
  <c r="J39" i="2"/>
  <c r="R39" i="2" s="1"/>
  <c r="H36" i="2"/>
  <c r="P36" i="2" s="1"/>
  <c r="H12" i="2"/>
  <c r="P12" i="2" s="1"/>
  <c r="G25" i="2"/>
  <c r="H418" i="2"/>
  <c r="I94" i="2"/>
  <c r="Q94" i="2" s="1"/>
  <c r="L68" i="2"/>
  <c r="T68" i="2" s="1"/>
  <c r="L7" i="2"/>
  <c r="T7" i="2" s="1"/>
  <c r="J117" i="2"/>
  <c r="I107" i="2"/>
  <c r="H492" i="2"/>
  <c r="K65" i="2"/>
  <c r="S65" i="2" s="1"/>
  <c r="J56" i="2"/>
  <c r="R56" i="2" s="1"/>
  <c r="J105" i="2"/>
  <c r="I95" i="2"/>
  <c r="Q95" i="2" s="1"/>
  <c r="L17" i="2"/>
  <c r="T17" i="2" s="1"/>
  <c r="H100" i="2"/>
  <c r="J75" i="2"/>
  <c r="R75" i="2" s="1"/>
  <c r="H101" i="2"/>
  <c r="I77" i="2"/>
  <c r="Q77" i="2" s="1"/>
  <c r="K136" i="2"/>
  <c r="I162" i="2"/>
  <c r="L313" i="2"/>
  <c r="K76" i="2"/>
  <c r="S76" i="2" s="1"/>
  <c r="I83" i="2"/>
  <c r="Q83" i="2" s="1"/>
  <c r="I54" i="2"/>
  <c r="Q54" i="2" s="1"/>
  <c r="I92" i="2"/>
  <c r="Q92" i="2" s="1"/>
  <c r="J111" i="2"/>
  <c r="I58" i="2"/>
  <c r="Q58" i="2" s="1"/>
  <c r="L118" i="2"/>
  <c r="I134" i="2"/>
  <c r="H147" i="2"/>
  <c r="L159" i="2"/>
  <c r="I10" i="2"/>
  <c r="Q10" i="2" s="1"/>
  <c r="I113" i="2"/>
  <c r="L132" i="2"/>
  <c r="K145" i="2"/>
  <c r="J158" i="2"/>
  <c r="I457" i="2"/>
  <c r="I7" i="2"/>
  <c r="Q7" i="2" s="1"/>
  <c r="K62" i="2"/>
  <c r="S62" i="2" s="1"/>
  <c r="K80" i="2"/>
  <c r="S80" i="2" s="1"/>
  <c r="L119" i="2"/>
  <c r="H84" i="2"/>
  <c r="P84" i="2" s="1"/>
  <c r="K109" i="2"/>
  <c r="J57" i="2"/>
  <c r="R57" i="2" s="1"/>
  <c r="I80" i="2"/>
  <c r="Q80" i="2" s="1"/>
  <c r="H93" i="2"/>
  <c r="P93" i="2" s="1"/>
  <c r="L105" i="2"/>
  <c r="K118" i="2"/>
  <c r="J96" i="2"/>
  <c r="R96" i="2" s="1"/>
  <c r="K128" i="2"/>
  <c r="J141" i="2"/>
  <c r="I154" i="2"/>
  <c r="H167" i="2"/>
  <c r="L90" i="2"/>
  <c r="T90" i="2" s="1"/>
  <c r="I127" i="2"/>
  <c r="H140" i="2"/>
  <c r="L152" i="2"/>
  <c r="K165" i="2"/>
  <c r="L83" i="2"/>
  <c r="T83" i="2" s="1"/>
  <c r="K60" i="2"/>
  <c r="S60" i="2" s="1"/>
  <c r="J119" i="2"/>
  <c r="H155" i="2"/>
  <c r="L124" i="2"/>
  <c r="J150" i="2"/>
  <c r="H172" i="2"/>
  <c r="K107" i="2"/>
  <c r="J131" i="2"/>
  <c r="I144" i="2"/>
  <c r="H157" i="2"/>
  <c r="L169" i="2"/>
  <c r="J144" i="2"/>
  <c r="K178" i="2"/>
  <c r="J191" i="2"/>
  <c r="J54" i="2"/>
  <c r="R54" i="2" s="1"/>
  <c r="L92" i="2"/>
  <c r="T92" i="2" s="1"/>
  <c r="H97" i="2"/>
  <c r="P97" i="2" s="1"/>
  <c r="K132" i="2"/>
  <c r="J84" i="2"/>
  <c r="R84" i="2" s="1"/>
  <c r="J138" i="2"/>
  <c r="H164" i="2"/>
  <c r="I85" i="2"/>
  <c r="Q85" i="2" s="1"/>
  <c r="L125" i="2"/>
  <c r="K138" i="2"/>
  <c r="J151" i="2"/>
  <c r="I164" i="2"/>
  <c r="J26" i="2"/>
  <c r="R26" i="2" s="1"/>
  <c r="H61" i="2"/>
  <c r="P61" i="2" s="1"/>
  <c r="K427" i="2"/>
  <c r="H108" i="2"/>
  <c r="K110" i="2"/>
  <c r="L29" i="2"/>
  <c r="T29" i="2" s="1"/>
  <c r="L101" i="2"/>
  <c r="J137" i="2"/>
  <c r="I123" i="2"/>
  <c r="I473" i="2"/>
  <c r="L43" i="2"/>
  <c r="T43" i="2" s="1"/>
  <c r="J83" i="2"/>
  <c r="R83" i="2" s="1"/>
  <c r="I109" i="2"/>
  <c r="I170" i="2"/>
  <c r="H156" i="2"/>
  <c r="L11" i="2"/>
  <c r="T11" i="2" s="1"/>
  <c r="K99" i="2"/>
  <c r="I131" i="2"/>
  <c r="K64" i="2"/>
  <c r="S64" i="2" s="1"/>
  <c r="K134" i="2"/>
  <c r="I160" i="2"/>
  <c r="I157" i="2"/>
  <c r="K194" i="2"/>
  <c r="J118" i="2"/>
  <c r="J145" i="2"/>
  <c r="L144" i="2"/>
  <c r="H98" i="2"/>
  <c r="P98" i="2" s="1"/>
  <c r="L141" i="2"/>
  <c r="H161" i="2"/>
  <c r="I121" i="2"/>
  <c r="K172" i="2"/>
  <c r="L185" i="2"/>
  <c r="K198" i="2"/>
  <c r="J211" i="2"/>
  <c r="I224" i="2"/>
  <c r="H237" i="2"/>
  <c r="L249" i="2"/>
  <c r="K262" i="2"/>
  <c r="J275" i="2"/>
  <c r="J132" i="2"/>
  <c r="K175" i="2"/>
  <c r="J188" i="2"/>
  <c r="I201" i="2"/>
  <c r="H214" i="2"/>
  <c r="L226" i="2"/>
  <c r="K239" i="2"/>
  <c r="J252" i="2"/>
  <c r="I265" i="2"/>
  <c r="H278" i="2"/>
  <c r="L142" i="2"/>
  <c r="I178" i="2"/>
  <c r="H191" i="2"/>
  <c r="L203" i="2"/>
  <c r="K216" i="2"/>
  <c r="J229" i="2"/>
  <c r="I242" i="2"/>
  <c r="H255" i="2"/>
  <c r="L267" i="2"/>
  <c r="K280" i="2"/>
  <c r="H118" i="2"/>
  <c r="J109" i="2"/>
  <c r="K74" i="2"/>
  <c r="S74" i="2" s="1"/>
  <c r="H74" i="2"/>
  <c r="P74" i="2" s="1"/>
  <c r="J161" i="2"/>
  <c r="H128" i="2"/>
  <c r="K153" i="2"/>
  <c r="I26" i="2"/>
  <c r="Q26" i="2" s="1"/>
  <c r="H114" i="2"/>
  <c r="H133" i="2"/>
  <c r="L145" i="2"/>
  <c r="K158" i="2"/>
  <c r="J171" i="2"/>
  <c r="L150" i="2"/>
  <c r="I180" i="2"/>
  <c r="H193" i="2"/>
  <c r="L205" i="2"/>
  <c r="K218" i="2"/>
  <c r="J231" i="2"/>
  <c r="I244" i="2"/>
  <c r="H257" i="2"/>
  <c r="L269" i="2"/>
  <c r="I73" i="2"/>
  <c r="Q73" i="2" s="1"/>
  <c r="I161" i="2"/>
  <c r="L182" i="2"/>
  <c r="K195" i="2"/>
  <c r="J208" i="2"/>
  <c r="I221" i="2"/>
  <c r="H234" i="2"/>
  <c r="L246" i="2"/>
  <c r="K259" i="2"/>
  <c r="J272" i="2"/>
  <c r="L114" i="2"/>
  <c r="K171" i="2"/>
  <c r="J185" i="2"/>
  <c r="I198" i="2"/>
  <c r="H211" i="2"/>
  <c r="L223" i="2"/>
  <c r="K236" i="2"/>
  <c r="J249" i="2"/>
  <c r="I262" i="2"/>
  <c r="H275" i="2"/>
  <c r="L287" i="2"/>
  <c r="H80" i="2"/>
  <c r="P80" i="2" s="1"/>
  <c r="I135" i="2"/>
  <c r="H137" i="2"/>
  <c r="L166" i="2"/>
  <c r="K210" i="2"/>
  <c r="I236" i="2"/>
  <c r="L261" i="2"/>
  <c r="I129" i="2"/>
  <c r="K187" i="2"/>
  <c r="I213" i="2"/>
  <c r="L238" i="2"/>
  <c r="J264" i="2"/>
  <c r="K139" i="2"/>
  <c r="I190" i="2"/>
  <c r="L215" i="2"/>
  <c r="J241" i="2"/>
  <c r="H267" i="2"/>
  <c r="H55" i="2"/>
  <c r="P55" i="2" s="1"/>
  <c r="J214" i="2"/>
  <c r="K265" i="2"/>
  <c r="I293" i="2"/>
  <c r="I48" i="2"/>
  <c r="Q48" i="2" s="1"/>
  <c r="H148" i="2"/>
  <c r="J159" i="2"/>
  <c r="K206" i="2"/>
  <c r="J239" i="2"/>
  <c r="L273" i="2"/>
  <c r="K183" i="2"/>
  <c r="J216" i="2"/>
  <c r="L250" i="2"/>
  <c r="K123" i="2"/>
  <c r="J193" i="2"/>
  <c r="L227" i="2"/>
  <c r="H263" i="2"/>
  <c r="K159" i="2"/>
  <c r="L236" i="2"/>
  <c r="J290" i="2"/>
  <c r="L306" i="2"/>
  <c r="K319" i="2"/>
  <c r="J332" i="2"/>
  <c r="I345" i="2"/>
  <c r="H358" i="2"/>
  <c r="L370" i="2"/>
  <c r="K383" i="2"/>
  <c r="K189" i="2"/>
  <c r="L240" i="2"/>
  <c r="I285" i="2"/>
  <c r="L299" i="2"/>
  <c r="K312" i="2"/>
  <c r="J325" i="2"/>
  <c r="I338" i="2"/>
  <c r="H351" i="2"/>
  <c r="L363" i="2"/>
  <c r="K376" i="2"/>
  <c r="J92" i="2"/>
  <c r="R92" i="2" s="1"/>
  <c r="K209" i="2"/>
  <c r="L260" i="2"/>
  <c r="H292" i="2"/>
  <c r="L304" i="2"/>
  <c r="K317" i="2"/>
  <c r="J330" i="2"/>
  <c r="I343" i="2"/>
  <c r="H356" i="2"/>
  <c r="L368" i="2"/>
  <c r="H139" i="2"/>
  <c r="K130" i="2"/>
  <c r="H181" i="2"/>
  <c r="L225" i="2"/>
  <c r="K5" i="2"/>
  <c r="S5" i="2" s="1"/>
  <c r="H79" i="2"/>
  <c r="P79" i="2" s="1"/>
  <c r="L37" i="2"/>
  <c r="T37" i="2" s="1"/>
  <c r="H66" i="2"/>
  <c r="P66" i="2" s="1"/>
  <c r="K115" i="2"/>
  <c r="K112" i="2"/>
  <c r="K114" i="2"/>
  <c r="I150" i="2"/>
  <c r="H136" i="2"/>
  <c r="H48" i="2"/>
  <c r="P48" i="2" s="1"/>
  <c r="J90" i="2"/>
  <c r="R90" i="2" s="1"/>
  <c r="I96" i="2"/>
  <c r="Q96" i="2" s="1"/>
  <c r="L131" i="2"/>
  <c r="K103" i="2"/>
  <c r="I159" i="2"/>
  <c r="J86" i="2"/>
  <c r="R86" i="2" s="1"/>
  <c r="J129" i="2"/>
  <c r="K137" i="2"/>
  <c r="H82" i="2"/>
  <c r="P82" i="2" s="1"/>
  <c r="L137" i="2"/>
  <c r="J163" i="2"/>
  <c r="H170" i="2"/>
  <c r="L197" i="2"/>
  <c r="I71" i="2"/>
  <c r="Q71" i="2" s="1"/>
  <c r="I158" i="2"/>
  <c r="I151" i="2"/>
  <c r="L110" i="2"/>
  <c r="H145" i="2"/>
  <c r="J167" i="2"/>
  <c r="L134" i="2"/>
  <c r="I176" i="2"/>
  <c r="H189" i="2"/>
  <c r="L201" i="2"/>
  <c r="K214" i="2"/>
  <c r="J227" i="2"/>
  <c r="I240" i="2"/>
  <c r="H253" i="2"/>
  <c r="L265" i="2"/>
  <c r="K278" i="2"/>
  <c r="I145" i="2"/>
  <c r="L178" i="2"/>
  <c r="K191" i="2"/>
  <c r="J204" i="2"/>
  <c r="I217" i="2"/>
  <c r="H230" i="2"/>
  <c r="L242" i="2"/>
  <c r="K255" i="2"/>
  <c r="J268" i="2"/>
  <c r="I281" i="2"/>
  <c r="K155" i="2"/>
  <c r="J181" i="2"/>
  <c r="I194" i="2"/>
  <c r="H207" i="2"/>
  <c r="L219" i="2"/>
  <c r="K232" i="2"/>
  <c r="J245" i="2"/>
  <c r="I258" i="2"/>
  <c r="H271" i="2"/>
  <c r="L283" i="2"/>
  <c r="J472" i="2"/>
  <c r="K73" i="2"/>
  <c r="S73" i="2" s="1"/>
  <c r="J87" i="2"/>
  <c r="R87" i="2" s="1"/>
  <c r="H123" i="2"/>
  <c r="J61" i="2"/>
  <c r="R61" i="2" s="1"/>
  <c r="J134" i="2"/>
  <c r="H160" i="2"/>
  <c r="K75" i="2"/>
  <c r="S75" i="2" s="1"/>
  <c r="J123" i="2"/>
  <c r="I136" i="2"/>
  <c r="H149" i="2"/>
  <c r="L161" i="2"/>
  <c r="L82" i="2"/>
  <c r="T82" i="2" s="1"/>
  <c r="K163" i="2"/>
  <c r="J183" i="2"/>
  <c r="I196" i="2"/>
  <c r="H209" i="2"/>
  <c r="L221" i="2"/>
  <c r="K234" i="2"/>
  <c r="J247" i="2"/>
  <c r="I260" i="2"/>
  <c r="H273" i="2"/>
  <c r="L122" i="2"/>
  <c r="I173" i="2"/>
  <c r="H186" i="2"/>
  <c r="L198" i="2"/>
  <c r="K211" i="2"/>
  <c r="J224" i="2"/>
  <c r="I237" i="2"/>
  <c r="H250" i="2"/>
  <c r="L262" i="2"/>
  <c r="K275" i="2"/>
  <c r="I133" i="2"/>
  <c r="L175" i="2"/>
  <c r="K188" i="2"/>
  <c r="J201" i="2"/>
  <c r="I214" i="2"/>
  <c r="H227" i="2"/>
  <c r="L239" i="2"/>
  <c r="K252" i="2"/>
  <c r="J265" i="2"/>
  <c r="I278" i="2"/>
  <c r="H291" i="2"/>
  <c r="K90" i="2"/>
  <c r="S90" i="2" s="1"/>
  <c r="L160" i="2"/>
  <c r="L149" i="2"/>
  <c r="I184" i="2"/>
  <c r="H217" i="2"/>
  <c r="K242" i="2"/>
  <c r="I268" i="2"/>
  <c r="L154" i="2"/>
  <c r="H194" i="2"/>
  <c r="K219" i="2"/>
  <c r="I245" i="2"/>
  <c r="L270" i="2"/>
  <c r="I165" i="2"/>
  <c r="K196" i="2"/>
  <c r="I222" i="2"/>
  <c r="L247" i="2"/>
  <c r="J273" i="2"/>
  <c r="H176" i="2"/>
  <c r="I227" i="2"/>
  <c r="J278" i="2"/>
  <c r="J296" i="2"/>
  <c r="L47" i="2"/>
  <c r="T47" i="2" s="1"/>
  <c r="L51" i="2"/>
  <c r="T51" i="2" s="1"/>
  <c r="J128" i="2"/>
  <c r="L213" i="2"/>
  <c r="I248" i="2"/>
  <c r="H86" i="2"/>
  <c r="P86" i="2" s="1"/>
  <c r="L190" i="2"/>
  <c r="I225" i="2"/>
  <c r="J260" i="2"/>
  <c r="J152" i="2"/>
  <c r="I202" i="2"/>
  <c r="J237" i="2"/>
  <c r="I270" i="2"/>
  <c r="K185" i="2"/>
  <c r="H256" i="2"/>
  <c r="L294" i="2"/>
  <c r="H310" i="2"/>
  <c r="L322" i="2"/>
  <c r="K335" i="2"/>
  <c r="J348" i="2"/>
  <c r="I361" i="2"/>
  <c r="H374" i="2"/>
  <c r="L386" i="2"/>
  <c r="J202" i="2"/>
  <c r="K253" i="2"/>
  <c r="K289" i="2"/>
  <c r="H303" i="2"/>
  <c r="L315" i="2"/>
  <c r="K328" i="2"/>
  <c r="J341" i="2"/>
  <c r="I354" i="2"/>
  <c r="H367" i="2"/>
  <c r="L379" i="2"/>
  <c r="H166" i="2"/>
  <c r="J222" i="2"/>
  <c r="K273" i="2"/>
  <c r="I295" i="2"/>
  <c r="H308" i="2"/>
  <c r="L320" i="2"/>
  <c r="K333" i="2"/>
  <c r="J346" i="2"/>
  <c r="I359" i="2"/>
  <c r="H372" i="2"/>
  <c r="I122" i="2"/>
  <c r="K146" i="2"/>
  <c r="I200" i="2"/>
  <c r="H233" i="2"/>
  <c r="I494" i="2"/>
  <c r="H41" i="2"/>
  <c r="P41" i="2" s="1"/>
  <c r="H63" i="2"/>
  <c r="P63" i="2" s="1"/>
  <c r="L23" i="2"/>
  <c r="T23" i="2" s="1"/>
  <c r="I119" i="2"/>
  <c r="I146" i="2"/>
  <c r="J102" i="2"/>
  <c r="J80" i="2"/>
  <c r="R80" i="2" s="1"/>
  <c r="H163" i="2"/>
  <c r="L148" i="2"/>
  <c r="I29" i="2"/>
  <c r="Q29" i="2" s="1"/>
  <c r="H116" i="2"/>
  <c r="H109" i="2"/>
  <c r="K144" i="2"/>
  <c r="J130" i="2"/>
  <c r="K495" i="2"/>
  <c r="H81" i="2"/>
  <c r="P81" i="2" s="1"/>
  <c r="L167" i="2"/>
  <c r="L156" i="2"/>
  <c r="J120" i="2"/>
  <c r="J147" i="2"/>
  <c r="H173" i="2"/>
  <c r="L181" i="2"/>
  <c r="I37" i="2"/>
  <c r="Q37" i="2" s="1"/>
  <c r="L109" i="2"/>
  <c r="H110" i="2"/>
  <c r="K169" i="2"/>
  <c r="H129" i="2"/>
  <c r="K154" i="2"/>
  <c r="K170" i="2"/>
  <c r="K147" i="2"/>
  <c r="J179" i="2"/>
  <c r="I192" i="2"/>
  <c r="H205" i="2"/>
  <c r="L217" i="2"/>
  <c r="K230" i="2"/>
  <c r="J243" i="2"/>
  <c r="I256" i="2"/>
  <c r="H269" i="2"/>
  <c r="L281" i="2"/>
  <c r="H158" i="2"/>
  <c r="H182" i="2"/>
  <c r="L194" i="2"/>
  <c r="K207" i="2"/>
  <c r="J220" i="2"/>
  <c r="I233" i="2"/>
  <c r="H246" i="2"/>
  <c r="L258" i="2"/>
  <c r="K271" i="2"/>
  <c r="H102" i="2"/>
  <c r="J168" i="2"/>
  <c r="K184" i="2"/>
  <c r="J197" i="2"/>
  <c r="I210" i="2"/>
  <c r="H223" i="2"/>
  <c r="L235" i="2"/>
  <c r="K248" i="2"/>
  <c r="J261" i="2"/>
  <c r="I274" i="2"/>
  <c r="H287" i="2"/>
  <c r="L5" i="2"/>
  <c r="T5" i="2" s="1"/>
  <c r="I99" i="2"/>
  <c r="I100" i="2"/>
  <c r="L135" i="2"/>
  <c r="H94" i="2"/>
  <c r="P94" i="2" s="1"/>
  <c r="L140" i="2"/>
  <c r="J166" i="2"/>
  <c r="J88" i="2"/>
  <c r="R88" i="2" s="1"/>
  <c r="K126" i="2"/>
  <c r="J139" i="2"/>
  <c r="I152" i="2"/>
  <c r="H165" i="2"/>
  <c r="I125" i="2"/>
  <c r="L173" i="2"/>
  <c r="K186" i="2"/>
  <c r="J199" i="2"/>
  <c r="I212" i="2"/>
  <c r="H225" i="2"/>
  <c r="L237" i="2"/>
  <c r="K250" i="2"/>
  <c r="J263" i="2"/>
  <c r="I276" i="2"/>
  <c r="K135" i="2"/>
  <c r="J176" i="2"/>
  <c r="I189" i="2"/>
  <c r="H202" i="2"/>
  <c r="L214" i="2"/>
  <c r="K227" i="2"/>
  <c r="J240" i="2"/>
  <c r="I253" i="2"/>
  <c r="H266" i="2"/>
  <c r="L278" i="2"/>
  <c r="H146" i="2"/>
  <c r="H179" i="2"/>
  <c r="L191" i="2"/>
  <c r="K204" i="2"/>
  <c r="J217" i="2"/>
  <c r="I230" i="2"/>
  <c r="H243" i="2"/>
  <c r="L255" i="2"/>
  <c r="K268" i="2"/>
  <c r="J281" i="2"/>
  <c r="H134" i="2"/>
  <c r="I126" i="2"/>
  <c r="L78" i="2"/>
  <c r="T78" i="2" s="1"/>
  <c r="K162" i="2"/>
  <c r="H197" i="2"/>
  <c r="J223" i="2"/>
  <c r="H249" i="2"/>
  <c r="K274" i="2"/>
  <c r="L174" i="2"/>
  <c r="J200" i="2"/>
  <c r="H226" i="2"/>
  <c r="K251" i="2"/>
  <c r="I277" i="2"/>
  <c r="J177" i="2"/>
  <c r="H203" i="2"/>
  <c r="K228" i="2"/>
  <c r="I254" i="2"/>
  <c r="L279" i="2"/>
  <c r="L188" i="2"/>
  <c r="H240" i="2"/>
  <c r="H285" i="2"/>
  <c r="K299" i="2"/>
  <c r="L86" i="2"/>
  <c r="T86" i="2" s="1"/>
  <c r="J127" i="2"/>
  <c r="L177" i="2"/>
  <c r="K222" i="2"/>
  <c r="L257" i="2"/>
  <c r="H142" i="2"/>
  <c r="K199" i="2"/>
  <c r="L234" i="2"/>
  <c r="K267" i="2"/>
  <c r="K176" i="2"/>
  <c r="L211" i="2"/>
  <c r="K244" i="2"/>
  <c r="H279" i="2"/>
  <c r="L204" i="2"/>
  <c r="H272" i="2"/>
  <c r="L298" i="2"/>
  <c r="I313" i="2"/>
  <c r="H326" i="2"/>
  <c r="L338" i="2"/>
  <c r="K351" i="2"/>
  <c r="J364" i="2"/>
  <c r="I377" i="2"/>
  <c r="I137" i="2"/>
  <c r="I215" i="2"/>
  <c r="J266" i="2"/>
  <c r="H120" i="2"/>
  <c r="I76" i="2"/>
  <c r="Q76" i="2" s="1"/>
  <c r="J93" i="2"/>
  <c r="R93" i="2" s="1"/>
  <c r="I143" i="2"/>
  <c r="I163" i="2"/>
  <c r="H185" i="2"/>
  <c r="L172" i="2"/>
  <c r="J160" i="2"/>
  <c r="H221" i="2"/>
  <c r="I272" i="2"/>
  <c r="H198" i="2"/>
  <c r="I249" i="2"/>
  <c r="H175" i="2"/>
  <c r="I226" i="2"/>
  <c r="J277" i="2"/>
  <c r="H113" i="2"/>
  <c r="J170" i="2"/>
  <c r="J155" i="2"/>
  <c r="L189" i="2"/>
  <c r="H241" i="2"/>
  <c r="J148" i="2"/>
  <c r="H218" i="2"/>
  <c r="I269" i="2"/>
  <c r="H195" i="2"/>
  <c r="I246" i="2"/>
  <c r="I405" i="2"/>
  <c r="I204" i="2"/>
  <c r="I181" i="2"/>
  <c r="I89" i="2"/>
  <c r="Q89" i="2" s="1"/>
  <c r="K260" i="2"/>
  <c r="I289" i="2"/>
  <c r="L193" i="2"/>
  <c r="I209" i="2"/>
  <c r="H219" i="2"/>
  <c r="H284" i="2"/>
  <c r="H342" i="2"/>
  <c r="L176" i="2"/>
  <c r="K296" i="2"/>
  <c r="I322" i="2"/>
  <c r="L347" i="2"/>
  <c r="J373" i="2"/>
  <c r="L196" i="2"/>
  <c r="K287" i="2"/>
  <c r="J314" i="2"/>
  <c r="H340" i="2"/>
  <c r="K365" i="2"/>
  <c r="K91" i="2"/>
  <c r="S91" i="2" s="1"/>
  <c r="I216" i="2"/>
  <c r="J267" i="2"/>
  <c r="I177" i="2"/>
  <c r="H210" i="2"/>
  <c r="J244" i="2"/>
  <c r="K279" i="2"/>
  <c r="H187" i="2"/>
  <c r="J221" i="2"/>
  <c r="K256" i="2"/>
  <c r="J289" i="2"/>
  <c r="H224" i="2"/>
  <c r="H286" i="2"/>
  <c r="J304" i="2"/>
  <c r="I317" i="2"/>
  <c r="H330" i="2"/>
  <c r="L342" i="2"/>
  <c r="K355" i="2"/>
  <c r="J368" i="2"/>
  <c r="I381" i="2"/>
  <c r="H180" i="2"/>
  <c r="I231" i="2"/>
  <c r="H282" i="2"/>
  <c r="J297" i="2"/>
  <c r="I310" i="2"/>
  <c r="H323" i="2"/>
  <c r="L335" i="2"/>
  <c r="K348" i="2"/>
  <c r="J361" i="2"/>
  <c r="I374" i="2"/>
  <c r="H387" i="2"/>
  <c r="H200" i="2"/>
  <c r="I251" i="2"/>
  <c r="L288" i="2"/>
  <c r="J302" i="2"/>
  <c r="I315" i="2"/>
  <c r="H328" i="2"/>
  <c r="L340" i="2"/>
  <c r="K353" i="2"/>
  <c r="J366" i="2"/>
  <c r="L151" i="2"/>
  <c r="J187" i="2"/>
  <c r="H261" i="2"/>
  <c r="K203" i="2"/>
  <c r="I273" i="2"/>
  <c r="H215" i="2"/>
  <c r="H283" i="2"/>
  <c r="K281" i="2"/>
  <c r="L314" i="2"/>
  <c r="J340" i="2"/>
  <c r="H366" i="2"/>
  <c r="L162" i="2"/>
  <c r="L272" i="2"/>
  <c r="L307" i="2"/>
  <c r="J333" i="2"/>
  <c r="H359" i="2"/>
  <c r="K384" i="2"/>
  <c r="K241" i="2"/>
  <c r="H300" i="2"/>
  <c r="K325" i="2"/>
  <c r="I351" i="2"/>
  <c r="I375" i="2"/>
  <c r="H388" i="2"/>
  <c r="K298" i="2"/>
  <c r="L349" i="2"/>
  <c r="L391" i="2"/>
  <c r="K404" i="2"/>
  <c r="J417" i="2"/>
  <c r="I430" i="2"/>
  <c r="I118" i="2"/>
  <c r="K124" i="2"/>
  <c r="I70" i="2"/>
  <c r="Q70" i="2" s="1"/>
  <c r="I19" i="2"/>
  <c r="Q19" i="2" s="1"/>
  <c r="H125" i="2"/>
  <c r="K96" i="2"/>
  <c r="S96" i="2" s="1"/>
  <c r="I132" i="2"/>
  <c r="K182" i="2"/>
  <c r="L233" i="2"/>
  <c r="K111" i="2"/>
  <c r="L210" i="2"/>
  <c r="H262" i="2"/>
  <c r="L187" i="2"/>
  <c r="H239" i="2"/>
  <c r="I290" i="2"/>
  <c r="K148" i="2"/>
  <c r="I101" i="2"/>
  <c r="I168" i="2"/>
  <c r="K202" i="2"/>
  <c r="L253" i="2"/>
  <c r="K179" i="2"/>
  <c r="L230" i="2"/>
  <c r="I42" i="2"/>
  <c r="Q42" i="2" s="1"/>
  <c r="L207" i="2"/>
  <c r="H259" i="2"/>
  <c r="J71" i="2"/>
  <c r="R71" i="2" s="1"/>
  <c r="L229" i="2"/>
  <c r="L206" i="2"/>
  <c r="L183" i="2"/>
  <c r="I286" i="2"/>
  <c r="L302" i="2"/>
  <c r="I232" i="2"/>
  <c r="H242" i="2"/>
  <c r="J253" i="2"/>
  <c r="K303" i="2"/>
  <c r="L354" i="2"/>
  <c r="H228" i="2"/>
  <c r="I306" i="2"/>
  <c r="L331" i="2"/>
  <c r="J357" i="2"/>
  <c r="H383" i="2"/>
  <c r="I235" i="2"/>
  <c r="J298" i="2"/>
  <c r="H324" i="2"/>
  <c r="K349" i="2"/>
  <c r="I62" i="2"/>
  <c r="Q62" i="2" s="1"/>
  <c r="L165" i="2"/>
  <c r="L241" i="2"/>
  <c r="H277" i="2"/>
  <c r="J184" i="2"/>
  <c r="L218" i="2"/>
  <c r="H254" i="2"/>
  <c r="L126" i="2"/>
  <c r="L195" i="2"/>
  <c r="H231" i="2"/>
  <c r="L263" i="2"/>
  <c r="J172" i="2"/>
  <c r="I243" i="2"/>
  <c r="J291" i="2"/>
  <c r="K307" i="2"/>
  <c r="J320" i="2"/>
  <c r="I333" i="2"/>
  <c r="H346" i="2"/>
  <c r="L358" i="2"/>
  <c r="K371" i="2"/>
  <c r="J384" i="2"/>
  <c r="L192" i="2"/>
  <c r="H244" i="2"/>
  <c r="J286" i="2"/>
  <c r="K300" i="2"/>
  <c r="J313" i="2"/>
  <c r="I326" i="2"/>
  <c r="H339" i="2"/>
  <c r="L351" i="2"/>
  <c r="K364" i="2"/>
  <c r="J377" i="2"/>
  <c r="K127" i="2"/>
  <c r="L212" i="2"/>
  <c r="H264" i="2"/>
  <c r="L292" i="2"/>
  <c r="K305" i="2"/>
  <c r="J318" i="2"/>
  <c r="I331" i="2"/>
  <c r="H344" i="2"/>
  <c r="L356" i="2"/>
  <c r="K369" i="2"/>
  <c r="I167" i="2"/>
  <c r="L209" i="2"/>
  <c r="L277" i="2"/>
  <c r="H222" i="2"/>
  <c r="J136" i="2"/>
  <c r="L231" i="2"/>
  <c r="I179" i="2"/>
  <c r="J292" i="2"/>
  <c r="I321" i="2"/>
  <c r="L346" i="2"/>
  <c r="J372" i="2"/>
  <c r="H196" i="2"/>
  <c r="J287" i="2"/>
  <c r="I314" i="2"/>
  <c r="L339" i="2"/>
  <c r="J365" i="2"/>
  <c r="J140" i="2"/>
  <c r="I267" i="2"/>
  <c r="J306" i="2"/>
  <c r="H332" i="2"/>
  <c r="K357" i="2"/>
  <c r="J378" i="2"/>
  <c r="L184" i="2"/>
  <c r="J311" i="2"/>
  <c r="K362" i="2"/>
  <c r="H395" i="2"/>
  <c r="L407" i="2"/>
  <c r="K420" i="2"/>
  <c r="J433" i="2"/>
  <c r="I446" i="2"/>
  <c r="H459" i="2"/>
  <c r="L471" i="2"/>
  <c r="K484" i="2"/>
  <c r="K105" i="2"/>
  <c r="I172" i="2"/>
  <c r="L245" i="2"/>
  <c r="H190" i="2"/>
  <c r="I257" i="2"/>
  <c r="L199" i="2"/>
  <c r="J269" i="2"/>
  <c r="K249" i="2"/>
  <c r="I309" i="2"/>
  <c r="L334" i="2"/>
  <c r="J360" i="2"/>
  <c r="H386" i="2"/>
  <c r="J250" i="2"/>
  <c r="I302" i="2"/>
  <c r="L327" i="2"/>
  <c r="J353" i="2"/>
  <c r="H379" i="2"/>
  <c r="I219" i="2"/>
  <c r="J294" i="2"/>
  <c r="H320" i="2"/>
  <c r="K345" i="2"/>
  <c r="I371" i="2"/>
  <c r="K385" i="2"/>
  <c r="H288" i="2"/>
  <c r="I340" i="2"/>
  <c r="J389" i="2"/>
  <c r="I402" i="2"/>
  <c r="H415" i="2"/>
  <c r="L427" i="2"/>
  <c r="K440" i="2"/>
  <c r="J453" i="2"/>
  <c r="I466" i="2"/>
  <c r="H479" i="2"/>
  <c r="I175" i="2"/>
  <c r="H309" i="2"/>
  <c r="I360" i="2"/>
  <c r="J394" i="2"/>
  <c r="I407" i="2"/>
  <c r="H420" i="2"/>
  <c r="L432" i="2"/>
  <c r="K445" i="2"/>
  <c r="J458" i="2"/>
  <c r="I471" i="2"/>
  <c r="J104" i="2"/>
  <c r="J219" i="2"/>
  <c r="H126" i="2"/>
  <c r="I229" i="2"/>
  <c r="J173" i="2"/>
  <c r="K240" i="2"/>
  <c r="I195" i="2"/>
  <c r="I297" i="2"/>
  <c r="J502" i="2"/>
  <c r="H85" i="2"/>
  <c r="P85" i="2" s="1"/>
  <c r="L74" i="2"/>
  <c r="T74" i="2" s="1"/>
  <c r="L121" i="2"/>
  <c r="L93" i="2"/>
  <c r="T93" i="2" s="1"/>
  <c r="K150" i="2"/>
  <c r="K122" i="2"/>
  <c r="L157" i="2"/>
  <c r="J195" i="2"/>
  <c r="K246" i="2"/>
  <c r="L170" i="2"/>
  <c r="K223" i="2"/>
  <c r="L274" i="2"/>
  <c r="K200" i="2"/>
  <c r="L251" i="2"/>
  <c r="I61" i="2"/>
  <c r="Q61" i="2" s="1"/>
  <c r="K119" i="2"/>
  <c r="L129" i="2"/>
  <c r="H138" i="2"/>
  <c r="J215" i="2"/>
  <c r="K266" i="2"/>
  <c r="J192" i="2"/>
  <c r="K243" i="2"/>
  <c r="L158" i="2"/>
  <c r="K220" i="2"/>
  <c r="L271" i="2"/>
  <c r="I124" i="2"/>
  <c r="J255" i="2"/>
  <c r="J232" i="2"/>
  <c r="J209" i="2"/>
  <c r="K201" i="2"/>
  <c r="I97" i="2"/>
  <c r="Q97" i="2" s="1"/>
  <c r="H265" i="2"/>
  <c r="J276" i="2"/>
  <c r="K288" i="2"/>
  <c r="J316" i="2"/>
  <c r="K367" i="2"/>
  <c r="I279" i="2"/>
  <c r="J309" i="2"/>
  <c r="H335" i="2"/>
  <c r="K360" i="2"/>
  <c r="I386" i="2"/>
  <c r="H248" i="2"/>
  <c r="K301" i="2"/>
  <c r="I327" i="2"/>
  <c r="L352" i="2"/>
  <c r="L77" i="2"/>
  <c r="T77" i="2" s="1"/>
  <c r="I141" i="2"/>
  <c r="J251" i="2"/>
  <c r="L98" i="2"/>
  <c r="T98" i="2" s="1"/>
  <c r="I193" i="2"/>
  <c r="J228" i="2"/>
  <c r="I261" i="2"/>
  <c r="H162" i="2"/>
  <c r="J205" i="2"/>
  <c r="I238" i="2"/>
  <c r="K272" i="2"/>
  <c r="H192" i="2"/>
  <c r="I259" i="2"/>
  <c r="K295" i="2"/>
  <c r="L310" i="2"/>
  <c r="K323" i="2"/>
  <c r="J336" i="2"/>
  <c r="I349" i="2"/>
  <c r="H362" i="2"/>
  <c r="L374" i="2"/>
  <c r="K387" i="2"/>
  <c r="K205" i="2"/>
  <c r="L256" i="2"/>
  <c r="K290" i="2"/>
  <c r="L303" i="2"/>
  <c r="K316" i="2"/>
  <c r="J329" i="2"/>
  <c r="I342" i="2"/>
  <c r="H355" i="2"/>
  <c r="L367" i="2"/>
  <c r="K380" i="2"/>
  <c r="J174" i="2"/>
  <c r="K225" i="2"/>
  <c r="L276" i="2"/>
  <c r="H296" i="2"/>
  <c r="L308" i="2"/>
  <c r="K321" i="2"/>
  <c r="J334" i="2"/>
  <c r="I347" i="2"/>
  <c r="H360" i="2"/>
  <c r="L372" i="2"/>
  <c r="L133" i="2"/>
  <c r="K226" i="2"/>
  <c r="J164" i="2"/>
  <c r="H238" i="2"/>
  <c r="K180" i="2"/>
  <c r="I250" i="2"/>
  <c r="I211" i="2"/>
  <c r="I301" i="2"/>
  <c r="K327" i="2"/>
  <c r="I353" i="2"/>
  <c r="L378" i="2"/>
  <c r="K221" i="2"/>
  <c r="H295" i="2"/>
  <c r="K320" i="2"/>
  <c r="I346" i="2"/>
  <c r="L371" i="2"/>
  <c r="J190" i="2"/>
  <c r="K285" i="2"/>
  <c r="L312" i="2"/>
  <c r="J338" i="2"/>
  <c r="H364" i="2"/>
  <c r="K381" i="2"/>
  <c r="H236" i="2"/>
  <c r="I324" i="2"/>
  <c r="J375" i="2"/>
  <c r="I398" i="2"/>
  <c r="H411" i="2"/>
  <c r="L423" i="2"/>
  <c r="K436" i="2"/>
  <c r="J449" i="2"/>
  <c r="I462" i="2"/>
  <c r="H475" i="2"/>
  <c r="L487" i="2"/>
  <c r="K164" i="2"/>
  <c r="K190" i="2"/>
  <c r="I264" i="2"/>
  <c r="H206" i="2"/>
  <c r="H274" i="2"/>
  <c r="I218" i="2"/>
  <c r="J285" i="2"/>
  <c r="L282" i="2"/>
  <c r="K315" i="2"/>
  <c r="I341" i="2"/>
  <c r="L366" i="2"/>
  <c r="K173" i="2"/>
  <c r="H276" i="2"/>
  <c r="K308" i="2"/>
  <c r="I334" i="2"/>
  <c r="L359" i="2"/>
  <c r="J385" i="2"/>
  <c r="L244" i="2"/>
  <c r="L300" i="2"/>
  <c r="J326" i="2"/>
  <c r="H352" i="2"/>
  <c r="H376" i="2"/>
  <c r="L388" i="2"/>
  <c r="L301" i="2"/>
  <c r="H353" i="2"/>
  <c r="K392" i="2"/>
  <c r="J405" i="2"/>
  <c r="I418" i="2"/>
  <c r="H431" i="2"/>
  <c r="L443" i="2"/>
  <c r="K456" i="2"/>
  <c r="J469" i="2"/>
  <c r="I482" i="2"/>
  <c r="J226" i="2"/>
  <c r="L321" i="2"/>
  <c r="H373" i="2"/>
  <c r="K397" i="2"/>
  <c r="J410" i="2"/>
  <c r="I423" i="2"/>
  <c r="H436" i="2"/>
  <c r="L448" i="2"/>
  <c r="K461" i="2"/>
  <c r="J474" i="2"/>
  <c r="H153" i="2"/>
  <c r="J235" i="2"/>
  <c r="H178" i="2"/>
  <c r="K247" i="2"/>
  <c r="J189" i="2"/>
  <c r="J257" i="2"/>
  <c r="J230" i="2"/>
  <c r="K161" i="2"/>
  <c r="K125" i="2"/>
  <c r="I185" i="2"/>
  <c r="K264" i="2"/>
  <c r="H177" i="2"/>
  <c r="J256" i="2"/>
  <c r="K95" i="2"/>
  <c r="S95" i="2" s="1"/>
  <c r="L252" i="2"/>
  <c r="L220" i="2"/>
  <c r="H319" i="2"/>
  <c r="J283" i="2"/>
  <c r="J154" i="2"/>
  <c r="L202" i="2"/>
  <c r="K212" i="2"/>
  <c r="I275" i="2"/>
  <c r="K339" i="2"/>
  <c r="H150" i="2"/>
  <c r="H307" i="2"/>
  <c r="I358" i="2"/>
  <c r="J238" i="2"/>
  <c r="L324" i="2"/>
  <c r="L115" i="2"/>
  <c r="L254" i="2"/>
  <c r="J308" i="2"/>
  <c r="I247" i="2"/>
  <c r="I378" i="2"/>
  <c r="L344" i="2"/>
  <c r="H337" i="2"/>
  <c r="H427" i="2"/>
  <c r="L455" i="2"/>
  <c r="J481" i="2"/>
  <c r="I140" i="2"/>
  <c r="K167" i="2"/>
  <c r="H183" i="2"/>
  <c r="K217" i="2"/>
  <c r="J328" i="2"/>
  <c r="K379" i="2"/>
  <c r="L295" i="2"/>
  <c r="H347" i="2"/>
  <c r="K193" i="2"/>
  <c r="K313" i="2"/>
  <c r="L364" i="2"/>
  <c r="L248" i="2"/>
  <c r="K378" i="2"/>
  <c r="L411" i="2"/>
  <c r="J437" i="2"/>
  <c r="H463" i="2"/>
  <c r="K488" i="2"/>
  <c r="J347" i="2"/>
  <c r="H404" i="2"/>
  <c r="K429" i="2"/>
  <c r="I455" i="2"/>
  <c r="L128" i="2"/>
  <c r="K270" i="2"/>
  <c r="J280" i="2"/>
  <c r="L291" i="2"/>
  <c r="K311" i="2"/>
  <c r="I337" i="2"/>
  <c r="L362" i="2"/>
  <c r="K79" i="2"/>
  <c r="S79" i="2" s="1"/>
  <c r="H260" i="2"/>
  <c r="K304" i="2"/>
  <c r="I330" i="2"/>
  <c r="L355" i="2"/>
  <c r="J381" i="2"/>
  <c r="L228" i="2"/>
  <c r="L296" i="2"/>
  <c r="J322" i="2"/>
  <c r="H348" i="2"/>
  <c r="K373" i="2"/>
  <c r="J386" i="2"/>
  <c r="I292" i="2"/>
  <c r="J343" i="2"/>
  <c r="I390" i="2"/>
  <c r="H403" i="2"/>
  <c r="L415" i="2"/>
  <c r="K428" i="2"/>
  <c r="J441" i="2"/>
  <c r="I454" i="2"/>
  <c r="H467" i="2"/>
  <c r="L479" i="2"/>
  <c r="H188" i="2"/>
  <c r="I312" i="2"/>
  <c r="J363" i="2"/>
  <c r="I395" i="2"/>
  <c r="H408" i="2"/>
  <c r="L420" i="2"/>
  <c r="K433" i="2"/>
  <c r="J446" i="2"/>
  <c r="I459" i="2"/>
  <c r="H472" i="2"/>
  <c r="K254" i="2"/>
  <c r="K276" i="2"/>
  <c r="K363" i="2"/>
  <c r="H331" i="2"/>
  <c r="K297" i="2"/>
  <c r="I387" i="2"/>
  <c r="L403" i="2"/>
  <c r="H455" i="2"/>
  <c r="H293" i="2"/>
  <c r="J390" i="2"/>
  <c r="H416" i="2"/>
  <c r="K441" i="2"/>
  <c r="I467" i="2"/>
  <c r="L484" i="2"/>
  <c r="H268" i="2"/>
  <c r="I332" i="2"/>
  <c r="J383" i="2"/>
  <c r="I400" i="2"/>
  <c r="H413" i="2"/>
  <c r="L425" i="2"/>
  <c r="K438" i="2"/>
  <c r="J451" i="2"/>
  <c r="I464" i="2"/>
  <c r="H477" i="2"/>
  <c r="L489" i="2"/>
  <c r="J501" i="2"/>
  <c r="K471" i="2"/>
  <c r="J420" i="2"/>
  <c r="K310" i="2"/>
  <c r="K491" i="2"/>
  <c r="H442" i="2"/>
  <c r="L390" i="2"/>
  <c r="G39" i="2"/>
  <c r="G111" i="2"/>
  <c r="G175" i="2"/>
  <c r="G239" i="2"/>
  <c r="G303" i="2"/>
  <c r="G56" i="2"/>
  <c r="G120" i="2"/>
  <c r="G184" i="2"/>
  <c r="G248" i="2"/>
  <c r="G312" i="2"/>
  <c r="G77" i="2"/>
  <c r="G141" i="2"/>
  <c r="G205" i="2"/>
  <c r="G269" i="2"/>
  <c r="G38" i="2"/>
  <c r="G110" i="2"/>
  <c r="G363" i="2"/>
  <c r="G474" i="2"/>
  <c r="G410" i="2"/>
  <c r="G346" i="2"/>
  <c r="G130" i="2"/>
  <c r="G489" i="2"/>
  <c r="G425" i="2"/>
  <c r="G361" i="2"/>
  <c r="G190" i="2"/>
  <c r="G383" i="2"/>
  <c r="G476" i="2"/>
  <c r="G412" i="2"/>
  <c r="G348" i="2"/>
  <c r="G138" i="2"/>
  <c r="G419" i="2"/>
  <c r="G418" i="2"/>
  <c r="G333" i="2"/>
  <c r="G369" i="2"/>
  <c r="G500" i="2"/>
  <c r="G388" i="2"/>
  <c r="I156" i="2"/>
  <c r="H306" i="2"/>
  <c r="L375" i="2"/>
  <c r="L333" i="2"/>
  <c r="J477" i="2"/>
  <c r="L408" i="2"/>
  <c r="K453" i="2"/>
  <c r="J490" i="2"/>
  <c r="J415" i="2"/>
  <c r="I498" i="2"/>
  <c r="L410" i="2"/>
  <c r="K215" i="2"/>
  <c r="I288" i="2"/>
  <c r="J186" i="2"/>
  <c r="H363" i="2"/>
  <c r="K329" i="2"/>
  <c r="I308" i="2"/>
  <c r="L419" i="2"/>
  <c r="H471" i="2"/>
  <c r="I328" i="2"/>
  <c r="I399" i="2"/>
  <c r="L424" i="2"/>
  <c r="J450" i="2"/>
  <c r="H476" i="2"/>
  <c r="L488" i="2"/>
  <c r="H297" i="2"/>
  <c r="I348" i="2"/>
  <c r="J391" i="2"/>
  <c r="I404" i="2"/>
  <c r="H417" i="2"/>
  <c r="L429" i="2"/>
  <c r="K442" i="2"/>
  <c r="J455" i="2"/>
  <c r="I468" i="2"/>
  <c r="H481" i="2"/>
  <c r="L493" i="2"/>
  <c r="H496" i="2"/>
  <c r="K455" i="2"/>
  <c r="J404" i="2"/>
  <c r="L502" i="2"/>
  <c r="I477" i="2"/>
  <c r="H426" i="2"/>
  <c r="H333" i="2"/>
  <c r="G67" i="2"/>
  <c r="G131" i="2"/>
  <c r="G195" i="2"/>
  <c r="G259" i="2"/>
  <c r="G323" i="2"/>
  <c r="G76" i="2"/>
  <c r="G140" i="2"/>
  <c r="G204" i="2"/>
  <c r="G268" i="2"/>
  <c r="G5" i="2"/>
  <c r="G97" i="2"/>
  <c r="G161" i="2"/>
  <c r="G225" i="2"/>
  <c r="G289" i="2"/>
  <c r="J157" i="2"/>
  <c r="L67" i="2"/>
  <c r="T67" i="2" s="1"/>
  <c r="J236" i="2"/>
  <c r="L15" i="2"/>
  <c r="T15" i="2" s="1"/>
  <c r="I228" i="2"/>
  <c r="I182" i="2"/>
  <c r="H281" i="2"/>
  <c r="J143" i="2"/>
  <c r="I329" i="2"/>
  <c r="K344" i="2"/>
  <c r="I311" i="2"/>
  <c r="J207" i="2"/>
  <c r="K235" i="2"/>
  <c r="H247" i="2"/>
  <c r="J300" i="2"/>
  <c r="J352" i="2"/>
  <c r="J218" i="2"/>
  <c r="L319" i="2"/>
  <c r="H371" i="2"/>
  <c r="J284" i="2"/>
  <c r="K337" i="2"/>
  <c r="H169" i="2"/>
  <c r="H199" i="2"/>
  <c r="H334" i="2"/>
  <c r="J301" i="2"/>
  <c r="H216" i="2"/>
  <c r="J370" i="2"/>
  <c r="I388" i="2"/>
  <c r="L439" i="2"/>
  <c r="J465" i="2"/>
  <c r="L130" i="2"/>
  <c r="H213" i="2"/>
  <c r="L222" i="2"/>
  <c r="I234" i="2"/>
  <c r="H294" i="2"/>
  <c r="K347" i="2"/>
  <c r="I199" i="2"/>
  <c r="H315" i="2"/>
  <c r="I366" i="2"/>
  <c r="J270" i="2"/>
  <c r="L332" i="2"/>
  <c r="I379" i="2"/>
  <c r="K314" i="2"/>
  <c r="L395" i="2"/>
  <c r="J421" i="2"/>
  <c r="H447" i="2"/>
  <c r="K472" i="2"/>
  <c r="K277" i="2"/>
  <c r="L385" i="2"/>
  <c r="K413" i="2"/>
  <c r="I439" i="2"/>
  <c r="L464" i="2"/>
  <c r="H154" i="2"/>
  <c r="J196" i="2"/>
  <c r="I206" i="2"/>
  <c r="J262" i="2"/>
  <c r="H318" i="2"/>
  <c r="K343" i="2"/>
  <c r="I369" i="2"/>
  <c r="I183" i="2"/>
  <c r="I283" i="2"/>
  <c r="H311" i="2"/>
  <c r="K336" i="2"/>
  <c r="I362" i="2"/>
  <c r="L387" i="2"/>
  <c r="J254" i="2"/>
  <c r="I303" i="2"/>
  <c r="L328" i="2"/>
  <c r="J354" i="2"/>
  <c r="L376" i="2"/>
  <c r="I105" i="2"/>
  <c r="H305" i="2"/>
  <c r="I356" i="2"/>
  <c r="J393" i="2"/>
  <c r="I406" i="2"/>
  <c r="H419" i="2"/>
  <c r="L431" i="2"/>
  <c r="K444" i="2"/>
  <c r="J457" i="2"/>
  <c r="I470" i="2"/>
  <c r="H483" i="2"/>
  <c r="I239" i="2"/>
  <c r="H325" i="2"/>
  <c r="I376" i="2"/>
  <c r="J398" i="2"/>
  <c r="I411" i="2"/>
  <c r="H424" i="2"/>
  <c r="L436" i="2"/>
  <c r="K449" i="2"/>
  <c r="J462" i="2"/>
  <c r="I475" i="2"/>
  <c r="I197" i="2"/>
  <c r="L268" i="2"/>
  <c r="J124" i="2"/>
  <c r="K356" i="2"/>
  <c r="I323" i="2"/>
  <c r="J295" i="2"/>
  <c r="K416" i="2"/>
  <c r="L467" i="2"/>
  <c r="K318" i="2"/>
  <c r="L396" i="2"/>
  <c r="J422" i="2"/>
  <c r="H448" i="2"/>
  <c r="K473" i="2"/>
  <c r="H488" i="2"/>
  <c r="L293" i="2"/>
  <c r="H345" i="2"/>
  <c r="K390" i="2"/>
  <c r="J403" i="2"/>
  <c r="I416" i="2"/>
  <c r="H429" i="2"/>
  <c r="L441" i="2"/>
  <c r="K454" i="2"/>
  <c r="J467" i="2"/>
  <c r="I480" i="2"/>
  <c r="H493" i="2"/>
  <c r="I497" i="2"/>
  <c r="L458" i="2"/>
  <c r="K407" i="2"/>
  <c r="K181" i="2"/>
  <c r="J480" i="2"/>
  <c r="I429" i="2"/>
  <c r="L345" i="2"/>
  <c r="G63" i="2"/>
  <c r="G127" i="2"/>
  <c r="G191" i="2"/>
  <c r="G255" i="2"/>
  <c r="G319" i="2"/>
  <c r="G72" i="2"/>
  <c r="G136" i="2"/>
  <c r="G200" i="2"/>
  <c r="G264" i="2"/>
  <c r="G328" i="2"/>
  <c r="G93" i="2"/>
  <c r="G157" i="2"/>
  <c r="G221" i="2"/>
  <c r="G285" i="2"/>
  <c r="G62" i="2"/>
  <c r="G487" i="2"/>
  <c r="G294" i="2"/>
  <c r="G458" i="2"/>
  <c r="G394" i="2"/>
  <c r="G322" i="2"/>
  <c r="G439" i="2"/>
  <c r="G473" i="2"/>
  <c r="G409" i="2"/>
  <c r="G345" i="2"/>
  <c r="G126" i="2"/>
  <c r="G343" i="2"/>
  <c r="G460" i="2"/>
  <c r="G396" i="2"/>
  <c r="G329" i="2"/>
  <c r="G122" i="2"/>
  <c r="G214" i="2"/>
  <c r="G386" i="2"/>
  <c r="G481" i="2"/>
  <c r="G286" i="2"/>
  <c r="G468" i="2"/>
  <c r="G356" i="2"/>
  <c r="J180" i="2"/>
  <c r="I357" i="2"/>
  <c r="L290" i="2"/>
  <c r="K400" i="2"/>
  <c r="H289" i="2"/>
  <c r="K421" i="2"/>
  <c r="J466" i="2"/>
  <c r="I255" i="2"/>
  <c r="H425" i="2"/>
  <c r="L474" i="2"/>
  <c r="K141" i="2"/>
  <c r="J76" i="2"/>
  <c r="R76" i="2" s="1"/>
  <c r="L318" i="2"/>
  <c r="I284" i="2"/>
  <c r="K388" i="2"/>
  <c r="I355" i="2"/>
  <c r="J359" i="2"/>
  <c r="K432" i="2"/>
  <c r="L483" i="2"/>
  <c r="L353" i="2"/>
  <c r="K405" i="2"/>
  <c r="I431" i="2"/>
  <c r="L456" i="2"/>
  <c r="I479" i="2"/>
  <c r="J178" i="2"/>
  <c r="L309" i="2"/>
  <c r="H361" i="2"/>
  <c r="K394" i="2"/>
  <c r="J407" i="2"/>
  <c r="I420" i="2"/>
  <c r="H433" i="2"/>
  <c r="L445" i="2"/>
  <c r="K458" i="2"/>
  <c r="J471" i="2"/>
  <c r="I484" i="2"/>
  <c r="H497" i="2"/>
  <c r="L491" i="2"/>
  <c r="L442" i="2"/>
  <c r="K391" i="2"/>
  <c r="H499" i="2"/>
  <c r="J464" i="2"/>
  <c r="I413" i="2"/>
  <c r="I271" i="2"/>
  <c r="G83" i="2"/>
  <c r="G147" i="2"/>
  <c r="G211" i="2"/>
  <c r="G275" i="2"/>
  <c r="G339" i="2"/>
  <c r="G92" i="2"/>
  <c r="G156" i="2"/>
  <c r="G220" i="2"/>
  <c r="G284" i="2"/>
  <c r="G49" i="2"/>
  <c r="G113" i="2"/>
  <c r="G177" i="2"/>
  <c r="G241" i="2"/>
  <c r="G305" i="2"/>
  <c r="H406" i="2"/>
  <c r="I81" i="2"/>
  <c r="Q81" i="2" s="1"/>
  <c r="I208" i="2"/>
  <c r="H130" i="2"/>
  <c r="I147" i="2"/>
  <c r="J279" i="2"/>
  <c r="J233" i="2"/>
  <c r="H258" i="2"/>
  <c r="H174" i="2"/>
  <c r="J380" i="2"/>
  <c r="I370" i="2"/>
  <c r="L336" i="2"/>
  <c r="K258" i="2"/>
  <c r="H270" i="2"/>
  <c r="I282" i="2"/>
  <c r="H314" i="2"/>
  <c r="I365" i="2"/>
  <c r="K269" i="2"/>
  <c r="K332" i="2"/>
  <c r="L383" i="2"/>
  <c r="I299" i="2"/>
  <c r="J350" i="2"/>
  <c r="H245" i="2"/>
  <c r="I266" i="2"/>
  <c r="K359" i="2"/>
  <c r="H327" i="2"/>
  <c r="K293" i="2"/>
  <c r="L384" i="2"/>
  <c r="J401" i="2"/>
  <c r="H443" i="2"/>
  <c r="K468" i="2"/>
  <c r="K213" i="2"/>
  <c r="H229" i="2"/>
  <c r="I241" i="2"/>
  <c r="H251" i="2"/>
  <c r="H302" i="2"/>
  <c r="H354" i="2"/>
  <c r="L224" i="2"/>
  <c r="J321" i="2"/>
  <c r="K372" i="2"/>
  <c r="K286" i="2"/>
  <c r="I339" i="2"/>
  <c r="J382" i="2"/>
  <c r="J327" i="2"/>
  <c r="H399" i="2"/>
  <c r="K424" i="2"/>
  <c r="I450" i="2"/>
  <c r="L475" i="2"/>
  <c r="I296" i="2"/>
  <c r="I391" i="2"/>
  <c r="L416" i="2"/>
  <c r="J442" i="2"/>
  <c r="H468" i="2"/>
  <c r="H201" i="2"/>
  <c r="J212" i="2"/>
  <c r="K224" i="2"/>
  <c r="I287" i="2"/>
  <c r="J324" i="2"/>
  <c r="H350" i="2"/>
  <c r="K375" i="2"/>
  <c r="L208" i="2"/>
  <c r="K291" i="2"/>
  <c r="J317" i="2"/>
  <c r="H343" i="2"/>
  <c r="K368" i="2"/>
  <c r="K177" i="2"/>
  <c r="H280" i="2"/>
  <c r="K309" i="2"/>
  <c r="I335" i="2"/>
  <c r="L360" i="2"/>
  <c r="H380" i="2"/>
  <c r="J210" i="2"/>
  <c r="L317" i="2"/>
  <c r="H369" i="2"/>
  <c r="K396" i="2"/>
  <c r="J409" i="2"/>
  <c r="I422" i="2"/>
  <c r="H435" i="2"/>
  <c r="L447" i="2"/>
  <c r="K460" i="2"/>
  <c r="J473" i="2"/>
  <c r="I486" i="2"/>
  <c r="L284" i="2"/>
  <c r="L337" i="2"/>
  <c r="J388" i="2"/>
  <c r="K401" i="2"/>
  <c r="J414" i="2"/>
  <c r="I427" i="2"/>
  <c r="H440" i="2"/>
  <c r="L452" i="2"/>
  <c r="K465" i="2"/>
  <c r="I116" i="2"/>
  <c r="L266" i="2"/>
  <c r="J312" i="2"/>
  <c r="I263" i="2"/>
  <c r="I382" i="2"/>
  <c r="L348" i="2"/>
  <c r="K346" i="2"/>
  <c r="J429" i="2"/>
  <c r="K480" i="2"/>
  <c r="I344" i="2"/>
  <c r="I403" i="2"/>
  <c r="L428" i="2"/>
  <c r="J454" i="2"/>
  <c r="J478" i="2"/>
  <c r="K143" i="2"/>
  <c r="K306" i="2"/>
  <c r="L357" i="2"/>
  <c r="L393" i="2"/>
  <c r="K406" i="2"/>
  <c r="J419" i="2"/>
  <c r="I432" i="2"/>
  <c r="H445" i="2"/>
  <c r="L457" i="2"/>
  <c r="K470" i="2"/>
  <c r="J483" i="2"/>
  <c r="I496" i="2"/>
  <c r="L492" i="2"/>
  <c r="H446" i="2"/>
  <c r="L394" i="2"/>
  <c r="H500" i="2"/>
  <c r="K467" i="2"/>
  <c r="J416" i="2"/>
  <c r="K294" i="2"/>
  <c r="G79" i="2"/>
  <c r="G143" i="2"/>
  <c r="G207" i="2"/>
  <c r="G271" i="2"/>
  <c r="G335" i="2"/>
  <c r="G88" i="2"/>
  <c r="G152" i="2"/>
  <c r="G216" i="2"/>
  <c r="G280" i="2"/>
  <c r="G37" i="2"/>
  <c r="G109" i="2"/>
  <c r="G173" i="2"/>
  <c r="G237" i="2"/>
  <c r="G301" i="2"/>
  <c r="G78" i="2"/>
  <c r="G443" i="2"/>
  <c r="G134" i="2"/>
  <c r="G442" i="2"/>
  <c r="G378" i="2"/>
  <c r="G258" i="2"/>
  <c r="G371" i="2"/>
  <c r="G457" i="2"/>
  <c r="G393" i="2"/>
  <c r="G318" i="2"/>
  <c r="G459" i="2"/>
  <c r="G198" i="2"/>
  <c r="G444" i="2"/>
  <c r="G380" i="2"/>
  <c r="G266" i="2"/>
  <c r="G309" i="2"/>
  <c r="G482" i="2"/>
  <c r="G337" i="2"/>
  <c r="G433" i="2"/>
  <c r="G158" i="2"/>
  <c r="G452" i="2"/>
  <c r="G298" i="2"/>
  <c r="J248" i="2"/>
  <c r="K237" i="2"/>
  <c r="J342" i="2"/>
  <c r="I426" i="2"/>
  <c r="H341" i="2"/>
  <c r="H428" i="2"/>
  <c r="K477" i="2"/>
  <c r="H393" i="2"/>
  <c r="K434" i="2"/>
  <c r="I449" i="2"/>
  <c r="G282" i="2"/>
  <c r="G182" i="2"/>
  <c r="G212" i="2"/>
  <c r="K419" i="2"/>
  <c r="G464" i="2"/>
  <c r="G413" i="2"/>
  <c r="G398" i="2"/>
  <c r="G58" i="2"/>
  <c r="G89" i="2"/>
  <c r="G132" i="2"/>
  <c r="G187" i="2"/>
  <c r="J432" i="2"/>
  <c r="G475" i="2"/>
  <c r="G455" i="2"/>
  <c r="G148" i="2"/>
  <c r="L470" i="2"/>
  <c r="G416" i="2"/>
  <c r="G365" i="2"/>
  <c r="G350" i="2"/>
  <c r="G106" i="2"/>
  <c r="G137" i="2"/>
  <c r="G180" i="2"/>
  <c r="G235" i="2"/>
  <c r="H394" i="2"/>
  <c r="G230" i="2"/>
  <c r="G75" i="2"/>
  <c r="G496" i="2"/>
  <c r="G445" i="2"/>
  <c r="G430" i="2"/>
  <c r="G313" i="2"/>
  <c r="G57" i="2"/>
  <c r="G100" i="2"/>
  <c r="G155" i="2"/>
  <c r="H458" i="2"/>
  <c r="G483" i="2"/>
  <c r="G479" i="2"/>
  <c r="G118" i="2"/>
  <c r="G277" i="2"/>
  <c r="G213" i="2"/>
  <c r="G149" i="2"/>
  <c r="G85" i="2"/>
  <c r="G320" i="2"/>
  <c r="G256" i="2"/>
  <c r="G192" i="2"/>
  <c r="G128" i="2"/>
  <c r="G64" i="2"/>
  <c r="G311" i="2"/>
  <c r="G247" i="2"/>
  <c r="G183" i="2"/>
  <c r="G119" i="2"/>
  <c r="G55" i="2"/>
  <c r="J371" i="2"/>
  <c r="K435" i="2"/>
  <c r="L486" i="2"/>
  <c r="K282" i="2"/>
  <c r="H414" i="2"/>
  <c r="I465" i="2"/>
  <c r="I499" i="2"/>
  <c r="J491" i="2"/>
  <c r="K478" i="2"/>
  <c r="L465" i="2"/>
  <c r="H453" i="2"/>
  <c r="I440" i="2"/>
  <c r="J427" i="2"/>
  <c r="K414" i="2"/>
  <c r="L401" i="2"/>
  <c r="H389" i="2"/>
  <c r="K338" i="2"/>
  <c r="L285" i="2"/>
  <c r="J486" i="2"/>
  <c r="J470" i="2"/>
  <c r="L444" i="2"/>
  <c r="I419" i="2"/>
  <c r="K393" i="2"/>
  <c r="L305" i="2"/>
  <c r="J461" i="2"/>
  <c r="I410" i="2"/>
  <c r="I223" i="2"/>
  <c r="J310" i="2"/>
  <c r="L343" i="2"/>
  <c r="J376" i="2"/>
  <c r="J198" i="2"/>
  <c r="L138" i="2"/>
  <c r="H462" i="2"/>
  <c r="K498" i="2"/>
  <c r="K482" i="2"/>
  <c r="L469" i="2"/>
  <c r="H457" i="2"/>
  <c r="I444" i="2"/>
  <c r="I428" i="2"/>
  <c r="H409" i="2"/>
  <c r="L389" i="2"/>
  <c r="L341" i="2"/>
  <c r="H290" i="2"/>
  <c r="L472" i="2"/>
  <c r="I415" i="2"/>
  <c r="J315" i="2"/>
  <c r="J413" i="2"/>
  <c r="L316" i="2"/>
  <c r="L382" i="2"/>
  <c r="K238" i="2"/>
  <c r="G372" i="2"/>
  <c r="G359" i="2"/>
  <c r="G385" i="2"/>
  <c r="G226" i="2"/>
  <c r="G450" i="2"/>
  <c r="G86" i="2"/>
  <c r="G314" i="2"/>
  <c r="G392" i="2"/>
  <c r="G456" i="2"/>
  <c r="G326" i="2"/>
  <c r="G495" i="2"/>
  <c r="G341" i="2"/>
  <c r="G405" i="2"/>
  <c r="G469" i="2"/>
  <c r="G427" i="2"/>
  <c r="G306" i="2"/>
  <c r="G390" i="2"/>
  <c r="G454" i="2"/>
  <c r="G278" i="2"/>
  <c r="G471" i="2"/>
  <c r="G66" i="2"/>
  <c r="G257" i="2"/>
  <c r="G129" i="2"/>
  <c r="G300" i="2"/>
  <c r="G172" i="2"/>
  <c r="G44" i="2"/>
  <c r="G227" i="2"/>
  <c r="G99" i="2"/>
  <c r="J400" i="2"/>
  <c r="L494" i="2"/>
  <c r="H430" i="2"/>
  <c r="I500" i="2"/>
  <c r="K474" i="2"/>
  <c r="H449" i="2"/>
  <c r="J423" i="2"/>
  <c r="L397" i="2"/>
  <c r="K322" i="2"/>
  <c r="J482" i="2"/>
  <c r="K437" i="2"/>
  <c r="J379" i="2"/>
  <c r="J445" i="2"/>
  <c r="K377" i="2"/>
  <c r="L311" i="2"/>
  <c r="J225" i="2"/>
  <c r="H489" i="2"/>
  <c r="H396" i="2"/>
  <c r="L259" i="2"/>
  <c r="G417" i="2"/>
  <c r="G202" i="2"/>
  <c r="G423" i="2"/>
  <c r="G166" i="2"/>
  <c r="G490" i="2"/>
  <c r="G253" i="2"/>
  <c r="G296" i="2"/>
  <c r="G32" i="2"/>
  <c r="G95" i="2"/>
  <c r="L495" i="2"/>
  <c r="J499" i="2"/>
  <c r="I448" i="2"/>
  <c r="H397" i="2"/>
  <c r="K481" i="2"/>
  <c r="L369" i="2"/>
  <c r="J374" i="2"/>
  <c r="K208" i="2"/>
  <c r="I443" i="2"/>
  <c r="H392" i="2"/>
  <c r="K476" i="2"/>
  <c r="J425" i="2"/>
  <c r="K330" i="2"/>
  <c r="K341" i="2"/>
  <c r="H375" i="2"/>
  <c r="J234" i="2"/>
  <c r="I305" i="2"/>
  <c r="J103" i="2"/>
  <c r="K334" i="2"/>
  <c r="K408" i="2"/>
  <c r="I307" i="2"/>
  <c r="I373" i="2"/>
  <c r="I280" i="2"/>
  <c r="I414" i="2"/>
  <c r="I385" i="2"/>
  <c r="H312" i="2"/>
  <c r="H378" i="2"/>
  <c r="K151" i="2"/>
  <c r="I186" i="2"/>
  <c r="K142" i="2"/>
  <c r="L171" i="2"/>
  <c r="G448" i="2"/>
  <c r="G74" i="2"/>
  <c r="G84" i="2"/>
  <c r="H398" i="2"/>
  <c r="G347" i="2"/>
  <c r="G477" i="2"/>
  <c r="G462" i="2"/>
  <c r="G281" i="2"/>
  <c r="G324" i="2"/>
  <c r="G68" i="2"/>
  <c r="G123" i="2"/>
  <c r="K483" i="2"/>
  <c r="G397" i="2"/>
  <c r="G233" i="2"/>
  <c r="G331" i="2"/>
  <c r="I501" i="2"/>
  <c r="G480" i="2"/>
  <c r="G429" i="2"/>
  <c r="G414" i="2"/>
  <c r="G34" i="2"/>
  <c r="G73" i="2"/>
  <c r="G116" i="2"/>
  <c r="G171" i="2"/>
  <c r="I445" i="2"/>
  <c r="G461" i="2"/>
  <c r="G218" i="2"/>
  <c r="G435" i="2"/>
  <c r="G246" i="2"/>
  <c r="G494" i="2"/>
  <c r="G249" i="2"/>
  <c r="G292" i="2"/>
  <c r="G28" i="2"/>
  <c r="G91" i="2"/>
  <c r="L496" i="2"/>
  <c r="G336" i="2"/>
  <c r="G354" i="2"/>
  <c r="G70" i="2"/>
  <c r="G261" i="2"/>
  <c r="G197" i="2"/>
  <c r="G133" i="2"/>
  <c r="G69" i="2"/>
  <c r="G304" i="2"/>
  <c r="G240" i="2"/>
  <c r="G176" i="2"/>
  <c r="G112" i="2"/>
  <c r="G48" i="2"/>
  <c r="G295" i="2"/>
  <c r="G231" i="2"/>
  <c r="G167" i="2"/>
  <c r="G103" i="2"/>
  <c r="G11" i="2"/>
  <c r="I397" i="2"/>
  <c r="J448" i="2"/>
  <c r="K493" i="2"/>
  <c r="I336" i="2"/>
  <c r="L426" i="2"/>
  <c r="H478" i="2"/>
  <c r="H501" i="2"/>
  <c r="I488" i="2"/>
  <c r="J475" i="2"/>
  <c r="K462" i="2"/>
  <c r="L449" i="2"/>
  <c r="H437" i="2"/>
  <c r="I424" i="2"/>
  <c r="J411" i="2"/>
  <c r="K398" i="2"/>
  <c r="H377" i="2"/>
  <c r="L325" i="2"/>
  <c r="J242" i="2"/>
  <c r="I483" i="2"/>
  <c r="H464" i="2"/>
  <c r="J438" i="2"/>
  <c r="L412" i="2"/>
  <c r="K382" i="2"/>
  <c r="L264" i="2"/>
  <c r="K448" i="2"/>
  <c r="J397" i="2"/>
  <c r="L380" i="2"/>
  <c r="J282" i="2"/>
  <c r="I318" i="2"/>
  <c r="L350" i="2"/>
  <c r="L243" i="2"/>
  <c r="I220" i="2"/>
  <c r="K487" i="2"/>
  <c r="J495" i="2"/>
  <c r="J479" i="2"/>
  <c r="K466" i="2"/>
  <c r="L453" i="2"/>
  <c r="H441" i="2"/>
  <c r="L421" i="2"/>
  <c r="K402" i="2"/>
  <c r="I380" i="2"/>
  <c r="H329" i="2"/>
  <c r="H204" i="2"/>
  <c r="H460" i="2"/>
  <c r="J402" i="2"/>
  <c r="I490" i="2"/>
  <c r="H385" i="2"/>
  <c r="J206" i="2"/>
  <c r="K331" i="2"/>
  <c r="L500" i="2"/>
  <c r="G404" i="2"/>
  <c r="G447" i="2"/>
  <c r="G449" i="2"/>
  <c r="G290" i="2"/>
  <c r="G498" i="2"/>
  <c r="G293" i="2"/>
  <c r="G344" i="2"/>
  <c r="G408" i="2"/>
  <c r="G472" i="2"/>
  <c r="G375" i="2"/>
  <c r="G174" i="2"/>
  <c r="G357" i="2"/>
  <c r="G421" i="2"/>
  <c r="G485" i="2"/>
  <c r="G499" i="2"/>
  <c r="G342" i="2"/>
  <c r="G406" i="2"/>
  <c r="G470" i="2"/>
  <c r="G351" i="2"/>
  <c r="G114" i="2"/>
  <c r="G50" i="2"/>
  <c r="G209" i="2"/>
  <c r="G81" i="2"/>
  <c r="G252" i="2"/>
  <c r="G124" i="2"/>
  <c r="G307" i="2"/>
  <c r="G179" i="2"/>
  <c r="G51" i="2"/>
  <c r="L438" i="2"/>
  <c r="L297" i="2"/>
  <c r="J468" i="2"/>
  <c r="K490" i="2"/>
  <c r="H465" i="2"/>
  <c r="J439" i="2"/>
  <c r="L413" i="2"/>
  <c r="K386" i="2"/>
  <c r="L280" i="2"/>
  <c r="K469" i="2"/>
  <c r="J418" i="2"/>
  <c r="K302" i="2"/>
  <c r="H407" i="2"/>
  <c r="H304" i="2"/>
  <c r="H370" i="2"/>
  <c r="J271" i="2"/>
  <c r="L405" i="2"/>
  <c r="L451" i="2"/>
  <c r="G170" i="2"/>
  <c r="G162" i="2"/>
  <c r="G364" i="2"/>
  <c r="G254" i="2"/>
  <c r="G194" i="2"/>
  <c r="G399" i="2"/>
  <c r="G189" i="2"/>
  <c r="G232" i="2"/>
  <c r="G287" i="2"/>
  <c r="L3" i="2"/>
  <c r="T3" i="2" s="1"/>
  <c r="L361" i="2"/>
  <c r="K486" i="2"/>
  <c r="J435" i="2"/>
  <c r="K370" i="2"/>
  <c r="L460" i="2"/>
  <c r="L200" i="2"/>
  <c r="H232" i="2"/>
  <c r="K174" i="2"/>
  <c r="J430" i="2"/>
  <c r="K350" i="2"/>
  <c r="L463" i="2"/>
  <c r="K412" i="2"/>
  <c r="K261" i="2"/>
  <c r="H316" i="2"/>
  <c r="J349" i="2"/>
  <c r="H382" i="2"/>
  <c r="L275" i="2"/>
  <c r="H452" i="2"/>
  <c r="J485" i="2"/>
  <c r="L365" i="2"/>
  <c r="I153" i="2"/>
  <c r="H322" i="2"/>
  <c r="I171" i="2"/>
  <c r="K283" i="2"/>
  <c r="J246" i="2"/>
  <c r="I187" i="2"/>
  <c r="L326" i="2"/>
  <c r="J362" i="2"/>
  <c r="H235" i="2"/>
  <c r="J213" i="2"/>
  <c r="G360" i="2"/>
  <c r="G424" i="2"/>
  <c r="G488" i="2"/>
  <c r="G415" i="2"/>
  <c r="G238" i="2"/>
  <c r="G373" i="2"/>
  <c r="G437" i="2"/>
  <c r="G501" i="2"/>
  <c r="G178" i="2"/>
  <c r="G358" i="2"/>
  <c r="G422" i="2"/>
  <c r="G486" i="2"/>
  <c r="G387" i="2"/>
  <c r="G98" i="2"/>
  <c r="G321" i="2"/>
  <c r="G193" i="2"/>
  <c r="G65" i="2"/>
  <c r="G236" i="2"/>
  <c r="G108" i="2"/>
  <c r="G291" i="2"/>
  <c r="G163" i="2"/>
  <c r="I3" i="2"/>
  <c r="Q3" i="2" s="1"/>
  <c r="K451" i="2"/>
  <c r="H349" i="2"/>
  <c r="I481" i="2"/>
  <c r="J487" i="2"/>
  <c r="L461" i="2"/>
  <c r="I436" i="2"/>
  <c r="K410" i="2"/>
  <c r="L373" i="2"/>
  <c r="K229" i="2"/>
  <c r="I463" i="2"/>
  <c r="H412" i="2"/>
  <c r="H252" i="2"/>
  <c r="I394" i="2"/>
  <c r="K257" i="2"/>
  <c r="J344" i="2"/>
  <c r="J203" i="2"/>
  <c r="H484" i="2"/>
  <c r="H384" i="2"/>
  <c r="G420" i="2"/>
  <c r="G434" i="2"/>
  <c r="G428" i="2"/>
  <c r="G377" i="2"/>
  <c r="G362" i="2"/>
  <c r="G94" i="2"/>
  <c r="G125" i="2"/>
  <c r="G168" i="2"/>
  <c r="G223" i="2"/>
  <c r="K403" i="2"/>
  <c r="I433" i="2"/>
  <c r="L473" i="2"/>
  <c r="K422" i="2"/>
  <c r="J319" i="2"/>
  <c r="I435" i="2"/>
  <c r="I442" i="2"/>
  <c r="J305" i="2"/>
  <c r="L468" i="2"/>
  <c r="K417" i="2"/>
  <c r="J299" i="2"/>
  <c r="H451" i="2"/>
  <c r="L399" i="2"/>
  <c r="I383" i="2"/>
  <c r="L289" i="2"/>
  <c r="L323" i="2"/>
  <c r="J356" i="2"/>
  <c r="K263" i="2"/>
  <c r="J426" i="2"/>
  <c r="L459" i="2"/>
  <c r="K197" i="2"/>
  <c r="K340" i="2"/>
  <c r="J182" i="2"/>
  <c r="I478" i="2"/>
  <c r="I319" i="2"/>
  <c r="L186" i="2"/>
  <c r="J345" i="2"/>
  <c r="H208" i="2"/>
  <c r="H184" i="2"/>
  <c r="K284" i="2"/>
  <c r="J259" i="2"/>
  <c r="J45" i="2"/>
  <c r="R45" i="2" s="1"/>
  <c r="G6" i="2"/>
  <c r="Z106" i="1"/>
  <c r="Z207" i="1"/>
  <c r="AA207" i="1" s="1"/>
  <c r="AB207" i="1" s="1"/>
  <c r="P7" i="1" l="1"/>
  <c r="P351" i="1"/>
  <c r="P459" i="1"/>
  <c r="Z98" i="1"/>
  <c r="AA98" i="1" s="1"/>
  <c r="AB98" i="1" s="1"/>
  <c r="Z227" i="1"/>
  <c r="AA227" i="1" s="1"/>
  <c r="AB227" i="1" s="1"/>
  <c r="P424" i="1"/>
  <c r="Z167" i="1"/>
  <c r="AA167" i="1" s="1"/>
  <c r="AB167" i="1" s="1"/>
  <c r="Z69" i="1"/>
  <c r="AA69" i="1" s="1"/>
  <c r="AB69" i="1" s="1"/>
  <c r="P391" i="1"/>
  <c r="Z182" i="1"/>
  <c r="AA182" i="1" s="1"/>
  <c r="AB182" i="1" s="1"/>
  <c r="Z242" i="1"/>
  <c r="AA242" i="1" s="1"/>
  <c r="AB242" i="1" s="1"/>
  <c r="Z198" i="1"/>
  <c r="AA198" i="1" s="1"/>
  <c r="AB198" i="1" s="1"/>
  <c r="Z174" i="1"/>
  <c r="AA174" i="1" s="1"/>
  <c r="AB174" i="1" s="1"/>
  <c r="Z183" i="1"/>
  <c r="AA183" i="1" s="1"/>
  <c r="AB183" i="1" s="1"/>
  <c r="O81" i="2"/>
  <c r="Z178" i="1"/>
  <c r="AA178" i="1" s="1"/>
  <c r="AB178" i="1" s="1"/>
  <c r="P453" i="1"/>
  <c r="Z235" i="1"/>
  <c r="AA235" i="1" s="1"/>
  <c r="AB235" i="1" s="1"/>
  <c r="Z180" i="1"/>
  <c r="AA180" i="1" s="1"/>
  <c r="AB180" i="1" s="1"/>
  <c r="Z137" i="1"/>
  <c r="AA137" i="1" s="1"/>
  <c r="AB137" i="1" s="1"/>
  <c r="P358" i="1"/>
  <c r="Z32" i="1"/>
  <c r="AA32" i="1" s="1"/>
  <c r="AB32" i="1" s="1"/>
  <c r="Z250" i="1"/>
  <c r="AA250" i="1" s="1"/>
  <c r="AB250" i="1" s="1"/>
  <c r="O34" i="2"/>
  <c r="Z285" i="1"/>
  <c r="AA285" i="1" s="1"/>
  <c r="AB285" i="1" s="1"/>
  <c r="O32" i="2"/>
  <c r="Z170" i="1"/>
  <c r="AA170" i="1" s="1"/>
  <c r="AB170" i="1" s="1"/>
  <c r="Z231" i="1"/>
  <c r="AA231" i="1" s="1"/>
  <c r="AB231" i="1" s="1"/>
  <c r="Z133" i="1"/>
  <c r="AA133" i="1" s="1"/>
  <c r="AB133" i="1" s="1"/>
  <c r="Z282" i="1"/>
  <c r="AA282" i="1" s="1"/>
  <c r="AB282" i="1" s="1"/>
  <c r="Z251" i="1"/>
  <c r="AA251" i="1" s="1"/>
  <c r="AB251" i="1" s="1"/>
  <c r="Z196" i="1"/>
  <c r="AA196" i="1" s="1"/>
  <c r="AB196" i="1" s="1"/>
  <c r="Z153" i="1"/>
  <c r="AA153" i="1" s="1"/>
  <c r="AB153" i="1" s="1"/>
  <c r="Z104" i="1"/>
  <c r="AA104" i="1" s="1"/>
  <c r="AB104" i="1" s="1"/>
  <c r="Z110" i="1"/>
  <c r="AA110" i="1" s="1"/>
  <c r="AB110" i="1" s="1"/>
  <c r="Z62" i="1"/>
  <c r="AA62" i="1" s="1"/>
  <c r="AB62" i="1" s="1"/>
  <c r="Z162" i="1"/>
  <c r="AA162" i="1" s="1"/>
  <c r="AB162" i="1" s="1"/>
  <c r="Z202" i="1"/>
  <c r="AA202" i="1" s="1"/>
  <c r="AB202" i="1" s="1"/>
  <c r="Z41" i="1"/>
  <c r="AA41" i="1" s="1"/>
  <c r="AB41" i="1" s="1"/>
  <c r="O88" i="2"/>
  <c r="Z147" i="1"/>
  <c r="AA147" i="1" s="1"/>
  <c r="AB147" i="1" s="1"/>
  <c r="Z181" i="1"/>
  <c r="AA181" i="1" s="1"/>
  <c r="AB181" i="1" s="1"/>
  <c r="Z224" i="1"/>
  <c r="AA224" i="1" s="1"/>
  <c r="AB224" i="1" s="1"/>
  <c r="Z279" i="1"/>
  <c r="AA279" i="1" s="1"/>
  <c r="AB279" i="1" s="1"/>
  <c r="Z218" i="1"/>
  <c r="AA218" i="1" s="1"/>
  <c r="AB218" i="1" s="1"/>
  <c r="O62" i="2"/>
  <c r="O93" i="2"/>
  <c r="Z140" i="1"/>
  <c r="AA140" i="1" s="1"/>
  <c r="AB140" i="1" s="1"/>
  <c r="Z195" i="1"/>
  <c r="AA195" i="1" s="1"/>
  <c r="AB195" i="1" s="1"/>
  <c r="Z165" i="1"/>
  <c r="AA165" i="1" s="1"/>
  <c r="AB165" i="1" s="1"/>
  <c r="Z208" i="1"/>
  <c r="AA208" i="1" s="1"/>
  <c r="AB208" i="1" s="1"/>
  <c r="Z263" i="1"/>
  <c r="AA263" i="1" s="1"/>
  <c r="AB263" i="1" s="1"/>
  <c r="O38" i="2"/>
  <c r="O77" i="2"/>
  <c r="Z124" i="1"/>
  <c r="AA124" i="1" s="1"/>
  <c r="AB124" i="1" s="1"/>
  <c r="Z179" i="1"/>
  <c r="AA179" i="1" s="1"/>
  <c r="AB179" i="1" s="1"/>
  <c r="O19" i="2"/>
  <c r="Z24" i="1"/>
  <c r="AA24" i="1" s="1"/>
  <c r="AB24" i="1" s="1"/>
  <c r="O16" i="2"/>
  <c r="O14" i="2"/>
  <c r="O12" i="2"/>
  <c r="O47" i="2"/>
  <c r="O27" i="2"/>
  <c r="O29" i="2"/>
  <c r="Z192" i="1"/>
  <c r="AA192" i="1" s="1"/>
  <c r="AB192" i="1" s="1"/>
  <c r="Z148" i="1"/>
  <c r="AA148" i="1" s="1"/>
  <c r="AB148" i="1" s="1"/>
  <c r="Z205" i="1"/>
  <c r="AA205" i="1" s="1"/>
  <c r="AB205" i="1" s="1"/>
  <c r="Z119" i="1"/>
  <c r="AA119" i="1" s="1"/>
  <c r="AB119" i="1" s="1"/>
  <c r="O8" i="2"/>
  <c r="Z249" i="1"/>
  <c r="AA249" i="1" s="1"/>
  <c r="AB249" i="1" s="1"/>
  <c r="Z189" i="1"/>
  <c r="AA189" i="1" s="1"/>
  <c r="AB189" i="1" s="1"/>
  <c r="Z109" i="1"/>
  <c r="AA109" i="1" s="1"/>
  <c r="AB109" i="1" s="1"/>
  <c r="Z267" i="1"/>
  <c r="AA267" i="1" s="1"/>
  <c r="AB267" i="1" s="1"/>
  <c r="Z169" i="1"/>
  <c r="AA169" i="1" s="1"/>
  <c r="AB169" i="1" s="1"/>
  <c r="Z168" i="1"/>
  <c r="AA168" i="1" s="1"/>
  <c r="AB168" i="1" s="1"/>
  <c r="O35" i="2"/>
  <c r="Z143" i="1"/>
  <c r="AA143" i="1" s="1"/>
  <c r="AB143" i="1" s="1"/>
  <c r="Z111" i="1"/>
  <c r="AA111" i="1" s="1"/>
  <c r="AB111" i="1" s="1"/>
  <c r="Z277" i="1"/>
  <c r="AA277" i="1" s="1"/>
  <c r="AB277" i="1" s="1"/>
  <c r="O60" i="2"/>
  <c r="Z228" i="1"/>
  <c r="AA228" i="1" s="1"/>
  <c r="AB228" i="1" s="1"/>
  <c r="Z236" i="1"/>
  <c r="AA236" i="1" s="1"/>
  <c r="AB236" i="1" s="1"/>
  <c r="Z258" i="1"/>
  <c r="AA258" i="1" s="1"/>
  <c r="AB258" i="1" s="1"/>
  <c r="Z213" i="1"/>
  <c r="AA213" i="1" s="1"/>
  <c r="AB213" i="1" s="1"/>
  <c r="Z15" i="1"/>
  <c r="AA15" i="1" s="1"/>
  <c r="AB15" i="1" s="1"/>
  <c r="Z244" i="1"/>
  <c r="AA244" i="1" s="1"/>
  <c r="AB244" i="1" s="1"/>
  <c r="Z201" i="1"/>
  <c r="AA201" i="1" s="1"/>
  <c r="AB201" i="1" s="1"/>
  <c r="Z175" i="1"/>
  <c r="AA175" i="1" s="1"/>
  <c r="AB175" i="1" s="1"/>
  <c r="Z127" i="1"/>
  <c r="AA127" i="1" s="1"/>
  <c r="AB127" i="1" s="1"/>
  <c r="O84" i="2"/>
  <c r="O44" i="2"/>
  <c r="Z261" i="1"/>
  <c r="AA261" i="1" s="1"/>
  <c r="AB261" i="1" s="1"/>
  <c r="Z90" i="1"/>
  <c r="AA90" i="1" s="1"/>
  <c r="AB90" i="1" s="1"/>
  <c r="Z59" i="1"/>
  <c r="AA59" i="1" s="1"/>
  <c r="AB59" i="1" s="1"/>
  <c r="Z260" i="1"/>
  <c r="AA260" i="1" s="1"/>
  <c r="AB260" i="1" s="1"/>
  <c r="Z217" i="1"/>
  <c r="AA217" i="1" s="1"/>
  <c r="AB217" i="1" s="1"/>
  <c r="O57" i="2"/>
  <c r="Z239" i="1"/>
  <c r="AA239" i="1" s="1"/>
  <c r="AB239" i="1" s="1"/>
  <c r="Z152" i="1"/>
  <c r="AA152" i="1" s="1"/>
  <c r="AB152" i="1" s="1"/>
  <c r="Z191" i="1"/>
  <c r="AA191" i="1" s="1"/>
  <c r="AB191" i="1" s="1"/>
  <c r="Z216" i="1"/>
  <c r="AA216" i="1" s="1"/>
  <c r="AB216" i="1" s="1"/>
  <c r="Z270" i="1"/>
  <c r="AA270" i="1" s="1"/>
  <c r="AB270" i="1" s="1"/>
  <c r="Z138" i="1"/>
  <c r="AA138" i="1" s="1"/>
  <c r="AB138" i="1" s="1"/>
  <c r="Z241" i="1"/>
  <c r="AA241" i="1" s="1"/>
  <c r="AB241" i="1" s="1"/>
  <c r="Z284" i="1"/>
  <c r="AA284" i="1" s="1"/>
  <c r="AB284" i="1" s="1"/>
  <c r="O79" i="2"/>
  <c r="Z117" i="1"/>
  <c r="AA117" i="1" s="1"/>
  <c r="AB117" i="1" s="1"/>
  <c r="Z160" i="1"/>
  <c r="AA160" i="1" s="1"/>
  <c r="AB160" i="1" s="1"/>
  <c r="Z215" i="1"/>
  <c r="AA215" i="1" s="1"/>
  <c r="AB215" i="1" s="1"/>
  <c r="Z126" i="1"/>
  <c r="AA126" i="1" s="1"/>
  <c r="AB126" i="1" s="1"/>
  <c r="Z76" i="1"/>
  <c r="AA76" i="1" s="1"/>
  <c r="AB76" i="1" s="1"/>
  <c r="Z131" i="1"/>
  <c r="AA131" i="1" s="1"/>
  <c r="AB131" i="1" s="1"/>
  <c r="O97" i="2"/>
  <c r="Z144" i="1"/>
  <c r="AA144" i="1" s="1"/>
  <c r="AB144" i="1" s="1"/>
  <c r="Z199" i="1"/>
  <c r="AA199" i="1" s="1"/>
  <c r="AB199" i="1" s="1"/>
  <c r="Z142" i="1"/>
  <c r="AA142" i="1" s="1"/>
  <c r="AB142" i="1" s="1"/>
  <c r="Z273" i="1"/>
  <c r="AA273" i="1" s="1"/>
  <c r="AB273" i="1" s="1"/>
  <c r="O56" i="2"/>
  <c r="Z115" i="1"/>
  <c r="AA115" i="1" s="1"/>
  <c r="AB115" i="1" s="1"/>
  <c r="O25" i="2"/>
  <c r="O7" i="2"/>
  <c r="Z46" i="1"/>
  <c r="AA46" i="1" s="1"/>
  <c r="AB46" i="1" s="1"/>
  <c r="O4" i="2"/>
  <c r="O43" i="2"/>
  <c r="Z19" i="1"/>
  <c r="AA19" i="1" s="1"/>
  <c r="AB19" i="1" s="1"/>
  <c r="O10" i="2"/>
  <c r="Z86" i="1"/>
  <c r="AA86" i="1" s="1"/>
  <c r="AB86" i="1" s="1"/>
  <c r="O71" i="2"/>
  <c r="Z276" i="1"/>
  <c r="AA276" i="1" s="1"/>
  <c r="AB276" i="1" s="1"/>
  <c r="Z266" i="1"/>
  <c r="AA266" i="1" s="1"/>
  <c r="AB266" i="1" s="1"/>
  <c r="Z150" i="1"/>
  <c r="AA150" i="1" s="1"/>
  <c r="AB150" i="1" s="1"/>
  <c r="Z255" i="1"/>
  <c r="AA255" i="1" s="1"/>
  <c r="AB255" i="1" s="1"/>
  <c r="O33" i="2"/>
  <c r="Z278" i="1"/>
  <c r="AA278" i="1" s="1"/>
  <c r="AB278" i="1" s="1"/>
  <c r="Z163" i="1"/>
  <c r="AA163" i="1" s="1"/>
  <c r="AB163" i="1" s="1"/>
  <c r="Z164" i="1"/>
  <c r="AA164" i="1" s="1"/>
  <c r="AB164" i="1" s="1"/>
  <c r="Z214" i="1"/>
  <c r="AA214" i="1" s="1"/>
  <c r="AB214" i="1" s="1"/>
  <c r="Z269" i="1"/>
  <c r="AA269" i="1" s="1"/>
  <c r="AB269" i="1" s="1"/>
  <c r="Z247" i="1"/>
  <c r="AA247" i="1" s="1"/>
  <c r="AB247" i="1" s="1"/>
  <c r="Z84" i="1"/>
  <c r="AA84" i="1" s="1"/>
  <c r="AB84" i="1" s="1"/>
  <c r="Z94" i="1"/>
  <c r="AA94" i="1" s="1"/>
  <c r="AB94" i="1" s="1"/>
  <c r="Z248" i="1"/>
  <c r="AA248" i="1" s="1"/>
  <c r="AB248" i="1" s="1"/>
  <c r="Z283" i="1"/>
  <c r="AA283" i="1" s="1"/>
  <c r="AB283" i="1" s="1"/>
  <c r="Z154" i="1"/>
  <c r="AA154" i="1" s="1"/>
  <c r="AB154" i="1" s="1"/>
  <c r="Z100" i="1"/>
  <c r="AA100" i="1" s="1"/>
  <c r="AB100" i="1" s="1"/>
  <c r="Z274" i="1"/>
  <c r="AA274" i="1" s="1"/>
  <c r="AB274" i="1" s="1"/>
  <c r="Z271" i="1"/>
  <c r="AA271" i="1" s="1"/>
  <c r="AB271" i="1" s="1"/>
  <c r="Z172" i="1"/>
  <c r="AA172" i="1" s="1"/>
  <c r="AB172" i="1" s="1"/>
  <c r="Z129" i="1"/>
  <c r="AA129" i="1" s="1"/>
  <c r="AB129" i="1" s="1"/>
  <c r="Z112" i="1"/>
  <c r="AA112" i="1" s="1"/>
  <c r="AB112" i="1" s="1"/>
  <c r="P492" i="1"/>
  <c r="Z193" i="1"/>
  <c r="AA193" i="1" s="1"/>
  <c r="AB193" i="1" s="1"/>
  <c r="P368" i="1"/>
  <c r="Z128" i="1"/>
  <c r="AA128" i="1" s="1"/>
  <c r="AB128" i="1" s="1"/>
  <c r="O50" i="2"/>
  <c r="P425" i="1"/>
  <c r="P476" i="1"/>
  <c r="P502" i="1"/>
  <c r="Z107" i="1"/>
  <c r="AA107" i="1" s="1"/>
  <c r="AB107" i="1" s="1"/>
  <c r="O48" i="2"/>
  <c r="Z265" i="1"/>
  <c r="AA265" i="1" s="1"/>
  <c r="AB265" i="1" s="1"/>
  <c r="Z253" i="1"/>
  <c r="AA253" i="1" s="1"/>
  <c r="AB253" i="1" s="1"/>
  <c r="Z222" i="1"/>
  <c r="AA222" i="1" s="1"/>
  <c r="AB222" i="1" s="1"/>
  <c r="Z120" i="1"/>
  <c r="AA120" i="1" s="1"/>
  <c r="AB120" i="1" s="1"/>
  <c r="Z237" i="1"/>
  <c r="AA237" i="1" s="1"/>
  <c r="AB237" i="1" s="1"/>
  <c r="Z72" i="1"/>
  <c r="AA72" i="1" s="1"/>
  <c r="AB72" i="1" s="1"/>
  <c r="P481" i="1"/>
  <c r="O74" i="2"/>
  <c r="Z257" i="1"/>
  <c r="AA257" i="1" s="1"/>
  <c r="AB257" i="1" s="1"/>
  <c r="Z206" i="1"/>
  <c r="AA206" i="1" s="1"/>
  <c r="AB206" i="1" s="1"/>
  <c r="Z176" i="1"/>
  <c r="AA176" i="1" s="1"/>
  <c r="AB176" i="1" s="1"/>
  <c r="O66" i="2"/>
  <c r="P409" i="1"/>
  <c r="P460" i="1"/>
  <c r="P376" i="1"/>
  <c r="Z123" i="1"/>
  <c r="AA123" i="1" s="1"/>
  <c r="AB123" i="1" s="1"/>
  <c r="O64" i="2"/>
  <c r="Z281" i="1"/>
  <c r="AA281" i="1" s="1"/>
  <c r="AB281" i="1" s="1"/>
  <c r="O75" i="2"/>
  <c r="Z184" i="1"/>
  <c r="AA184" i="1" s="1"/>
  <c r="AB184" i="1" s="1"/>
  <c r="Z136" i="1"/>
  <c r="AA136" i="1" s="1"/>
  <c r="AB136" i="1" s="1"/>
  <c r="Z186" i="1"/>
  <c r="AA186" i="1" s="1"/>
  <c r="AB186" i="1" s="1"/>
  <c r="Z262" i="1"/>
  <c r="AA262" i="1" s="1"/>
  <c r="AB262" i="1" s="1"/>
  <c r="Z177" i="1"/>
  <c r="AA177" i="1" s="1"/>
  <c r="AB177" i="1" s="1"/>
  <c r="Z220" i="1"/>
  <c r="AA220" i="1" s="1"/>
  <c r="AB220" i="1" s="1"/>
  <c r="Z275" i="1"/>
  <c r="AA275" i="1" s="1"/>
  <c r="AB275" i="1" s="1"/>
  <c r="Z53" i="1"/>
  <c r="AA53" i="1" s="1"/>
  <c r="AB53" i="1" s="1"/>
  <c r="O92" i="2"/>
  <c r="Z151" i="1"/>
  <c r="AA151" i="1" s="1"/>
  <c r="AB151" i="1" s="1"/>
  <c r="Z130" i="1"/>
  <c r="AA130" i="1" s="1"/>
  <c r="AB130" i="1" s="1"/>
  <c r="Z225" i="1"/>
  <c r="AA225" i="1" s="1"/>
  <c r="AB225" i="1" s="1"/>
  <c r="Z268" i="1"/>
  <c r="AA268" i="1" s="1"/>
  <c r="AB268" i="1" s="1"/>
  <c r="O63" i="2"/>
  <c r="O5" i="2"/>
  <c r="Z80" i="1"/>
  <c r="AA80" i="1" s="1"/>
  <c r="AB80" i="1" s="1"/>
  <c r="Z135" i="1"/>
  <c r="AA135" i="1" s="1"/>
  <c r="AB135" i="1" s="1"/>
  <c r="Z194" i="1"/>
  <c r="AA194" i="1" s="1"/>
  <c r="AB194" i="1" s="1"/>
  <c r="Z134" i="1"/>
  <c r="AA134" i="1" s="1"/>
  <c r="AB134" i="1" s="1"/>
  <c r="Z209" i="1"/>
  <c r="AA209" i="1" s="1"/>
  <c r="AB209" i="1" s="1"/>
  <c r="Z252" i="1"/>
  <c r="AA252" i="1" s="1"/>
  <c r="AB252" i="1" s="1"/>
  <c r="O39" i="2"/>
  <c r="Z30" i="1"/>
  <c r="AA30" i="1" s="1"/>
  <c r="AB30" i="1" s="1"/>
  <c r="Z49" i="1"/>
  <c r="AA49" i="1" s="1"/>
  <c r="AB49" i="1" s="1"/>
  <c r="O18" i="2"/>
  <c r="Z34" i="1"/>
  <c r="AA34" i="1" s="1"/>
  <c r="AB34" i="1" s="1"/>
  <c r="O23" i="2"/>
  <c r="Z7" i="1"/>
  <c r="AA7" i="1" s="1"/>
  <c r="AB7" i="1" s="1"/>
  <c r="AC7" i="1" s="1"/>
  <c r="O31" i="2"/>
  <c r="Z44" i="1"/>
  <c r="AA44" i="1" s="1"/>
  <c r="AB44" i="1" s="1"/>
  <c r="Z26" i="1"/>
  <c r="AA26" i="1" s="1"/>
  <c r="AB26" i="1" s="1"/>
  <c r="Z203" i="1"/>
  <c r="AA203" i="1" s="1"/>
  <c r="AB203" i="1" s="1"/>
  <c r="Z105" i="1"/>
  <c r="AA105" i="1" s="1"/>
  <c r="AB105" i="1" s="1"/>
  <c r="Z223" i="1"/>
  <c r="AA223" i="1" s="1"/>
  <c r="AB223" i="1" s="1"/>
  <c r="Z157" i="1"/>
  <c r="AA157" i="1" s="1"/>
  <c r="AB157" i="1" s="1"/>
  <c r="O87" i="2"/>
  <c r="Z173" i="1"/>
  <c r="AA173" i="1" s="1"/>
  <c r="AB173" i="1" s="1"/>
  <c r="Z108" i="1"/>
  <c r="AA108" i="1" s="1"/>
  <c r="AB108" i="1" s="1"/>
  <c r="Z149" i="1"/>
  <c r="AA149" i="1" s="1"/>
  <c r="AB149" i="1" s="1"/>
  <c r="Z254" i="1"/>
  <c r="AA254" i="1" s="1"/>
  <c r="AB254" i="1" s="1"/>
  <c r="Z212" i="1"/>
  <c r="AA212" i="1" s="1"/>
  <c r="AB212" i="1" s="1"/>
  <c r="Z155" i="1"/>
  <c r="AA155" i="1" s="1"/>
  <c r="AB155" i="1" s="1"/>
  <c r="Z190" i="1"/>
  <c r="AA190" i="1" s="1"/>
  <c r="AB190" i="1" s="1"/>
  <c r="Z226" i="1"/>
  <c r="AA226" i="1" s="1"/>
  <c r="AB226" i="1" s="1"/>
  <c r="Z185" i="1"/>
  <c r="AA185" i="1" s="1"/>
  <c r="AB185" i="1" s="1"/>
  <c r="Z238" i="1"/>
  <c r="AA238" i="1" s="1"/>
  <c r="AB238" i="1" s="1"/>
  <c r="Z58" i="1"/>
  <c r="AA58" i="1" s="1"/>
  <c r="AB58" i="1" s="1"/>
  <c r="Z146" i="1"/>
  <c r="AA146" i="1" s="1"/>
  <c r="AB146" i="1" s="1"/>
  <c r="Z63" i="1"/>
  <c r="AA63" i="1" s="1"/>
  <c r="AB63" i="1" s="1"/>
  <c r="Z197" i="1"/>
  <c r="AA197" i="1" s="1"/>
  <c r="AB197" i="1" s="1"/>
  <c r="P438" i="1"/>
  <c r="Z240" i="1"/>
  <c r="AA240" i="1" s="1"/>
  <c r="AB240" i="1" s="1"/>
  <c r="O98" i="2"/>
  <c r="P362" i="1"/>
  <c r="P377" i="1"/>
  <c r="Z166" i="1"/>
  <c r="AA166" i="1" s="1"/>
  <c r="AB166" i="1" s="1"/>
  <c r="O51" i="2"/>
  <c r="Z256" i="1"/>
  <c r="AA256" i="1" s="1"/>
  <c r="AB256" i="1" s="1"/>
  <c r="Z118" i="1"/>
  <c r="AA118" i="1" s="1"/>
  <c r="AB118" i="1" s="1"/>
  <c r="P412" i="1"/>
  <c r="Z171" i="1"/>
  <c r="AA171" i="1" s="1"/>
  <c r="AB171" i="1" s="1"/>
  <c r="Z116" i="1"/>
  <c r="AA116" i="1" s="1"/>
  <c r="AB116" i="1" s="1"/>
  <c r="O69" i="2"/>
  <c r="Z74" i="1"/>
  <c r="AA74" i="1" s="1"/>
  <c r="AB74" i="1" s="1"/>
  <c r="O91" i="2"/>
  <c r="P498" i="1"/>
  <c r="O73" i="2"/>
  <c r="P484" i="1"/>
  <c r="Z99" i="1"/>
  <c r="AA99" i="1" s="1"/>
  <c r="AB99" i="1" s="1"/>
  <c r="Z103" i="1"/>
  <c r="AA103" i="1" s="1"/>
  <c r="AB103" i="1" s="1"/>
  <c r="Z230" i="1"/>
  <c r="AA230" i="1" s="1"/>
  <c r="AB230" i="1" s="1"/>
  <c r="Z187" i="1"/>
  <c r="AA187" i="1" s="1"/>
  <c r="AB187" i="1" s="1"/>
  <c r="Z132" i="1"/>
  <c r="AA132" i="1" s="1"/>
  <c r="AB132" i="1" s="1"/>
  <c r="Z89" i="1"/>
  <c r="AA89" i="1" s="1"/>
  <c r="AB89" i="1" s="1"/>
  <c r="Z122" i="1"/>
  <c r="AA122" i="1" s="1"/>
  <c r="AB122" i="1" s="1"/>
  <c r="Z159" i="1"/>
  <c r="AA159" i="1" s="1"/>
  <c r="AB159" i="1" s="1"/>
  <c r="Z234" i="1"/>
  <c r="AA234" i="1" s="1"/>
  <c r="AB234" i="1" s="1"/>
  <c r="Z141" i="1"/>
  <c r="AA141" i="1" s="1"/>
  <c r="AB141" i="1" s="1"/>
  <c r="O89" i="2"/>
  <c r="Z286" i="1"/>
  <c r="AA286" i="1" s="1"/>
  <c r="AB286" i="1" s="1"/>
  <c r="O78" i="2"/>
  <c r="Z113" i="1"/>
  <c r="AA113" i="1" s="1"/>
  <c r="AB113" i="1" s="1"/>
  <c r="Z156" i="1"/>
  <c r="AA156" i="1" s="1"/>
  <c r="AB156" i="1" s="1"/>
  <c r="Z211" i="1"/>
  <c r="AA211" i="1" s="1"/>
  <c r="AB211" i="1" s="1"/>
  <c r="Z245" i="1"/>
  <c r="AA245" i="1" s="1"/>
  <c r="AB245" i="1" s="1"/>
  <c r="Z87" i="1"/>
  <c r="AA87" i="1" s="1"/>
  <c r="AB87" i="1" s="1"/>
  <c r="Z161" i="1"/>
  <c r="AA161" i="1" s="1"/>
  <c r="AB161" i="1" s="1"/>
  <c r="Z204" i="1"/>
  <c r="AA204" i="1" s="1"/>
  <c r="AB204" i="1" s="1"/>
  <c r="Z259" i="1"/>
  <c r="AA259" i="1" s="1"/>
  <c r="AB259" i="1" s="1"/>
  <c r="Z229" i="1"/>
  <c r="AA229" i="1" s="1"/>
  <c r="AB229" i="1" s="1"/>
  <c r="Z272" i="1"/>
  <c r="AA272" i="1" s="1"/>
  <c r="AB272" i="1" s="1"/>
  <c r="O67" i="2"/>
  <c r="Z114" i="1"/>
  <c r="AA114" i="1" s="1"/>
  <c r="AB114" i="1" s="1"/>
  <c r="Z145" i="1"/>
  <c r="AA145" i="1" s="1"/>
  <c r="AB145" i="1" s="1"/>
  <c r="Z188" i="1"/>
  <c r="AA188" i="1" s="1"/>
  <c r="AB188" i="1" s="1"/>
  <c r="Z243" i="1"/>
  <c r="AA243" i="1" s="1"/>
  <c r="AB243" i="1" s="1"/>
  <c r="O9" i="2"/>
  <c r="Z45" i="1"/>
  <c r="AA45" i="1" s="1"/>
  <c r="AB45" i="1" s="1"/>
  <c r="Z25" i="1"/>
  <c r="AA25" i="1" s="1"/>
  <c r="AB25" i="1" s="1"/>
  <c r="Z40" i="1"/>
  <c r="AA40" i="1" s="1"/>
  <c r="AB40" i="1" s="1"/>
  <c r="O24" i="2"/>
  <c r="O46" i="2"/>
  <c r="O13" i="2"/>
  <c r="Z233" i="1"/>
  <c r="AA233" i="1" s="1"/>
  <c r="AB233" i="1" s="1"/>
  <c r="Z125" i="1"/>
  <c r="AA125" i="1" s="1"/>
  <c r="AB125" i="1" s="1"/>
  <c r="Z280" i="1"/>
  <c r="AA280" i="1" s="1"/>
  <c r="AB280" i="1" s="1"/>
  <c r="Z200" i="1"/>
  <c r="AA200" i="1" s="1"/>
  <c r="AB200" i="1" s="1"/>
  <c r="Z246" i="1"/>
  <c r="AA246" i="1" s="1"/>
  <c r="AB246" i="1" s="1"/>
  <c r="Z219" i="1"/>
  <c r="AA219" i="1" s="1"/>
  <c r="AB219" i="1" s="1"/>
  <c r="Z121" i="1"/>
  <c r="AA121" i="1" s="1"/>
  <c r="AB121" i="1" s="1"/>
  <c r="Z158" i="1"/>
  <c r="AA158" i="1" s="1"/>
  <c r="AB158" i="1" s="1"/>
  <c r="Z221" i="1"/>
  <c r="AA221" i="1" s="1"/>
  <c r="AB221" i="1" s="1"/>
  <c r="Z210" i="1"/>
  <c r="AA210" i="1" s="1"/>
  <c r="AB210" i="1" s="1"/>
  <c r="Z139" i="1"/>
  <c r="AA139" i="1" s="1"/>
  <c r="AB139" i="1" s="1"/>
  <c r="O17" i="2"/>
  <c r="O53" i="2"/>
  <c r="Z264" i="1"/>
  <c r="AA264" i="1" s="1"/>
  <c r="AB264" i="1" s="1"/>
  <c r="Z232" i="1"/>
  <c r="AA232" i="1" s="1"/>
  <c r="AB232" i="1" s="1"/>
  <c r="Z65" i="1"/>
  <c r="AA65" i="1" s="1"/>
  <c r="AB65" i="1" s="1"/>
  <c r="P428" i="1"/>
  <c r="P465" i="1"/>
  <c r="P475" i="1"/>
  <c r="P420" i="1"/>
  <c r="P357" i="1"/>
  <c r="P451" i="1"/>
  <c r="P463" i="1"/>
  <c r="P339" i="1"/>
  <c r="P432" i="1"/>
  <c r="P426" i="1"/>
  <c r="P441" i="1"/>
  <c r="P410" i="1"/>
  <c r="P408" i="1"/>
  <c r="P394" i="1"/>
  <c r="P369" i="1"/>
  <c r="P341" i="1"/>
  <c r="P421" i="1"/>
  <c r="P372" i="1"/>
  <c r="P335" i="1"/>
  <c r="P473" i="1"/>
  <c r="P478" i="1"/>
  <c r="P371" i="1"/>
  <c r="P338" i="1"/>
  <c r="P433" i="1"/>
  <c r="P379" i="1"/>
  <c r="P454" i="1"/>
  <c r="P403" i="1"/>
  <c r="P346" i="1"/>
  <c r="P361" i="1"/>
  <c r="P328" i="1"/>
  <c r="P345" i="1"/>
  <c r="P397" i="1"/>
  <c r="P390" i="1"/>
  <c r="P350" i="1"/>
  <c r="P364" i="1"/>
  <c r="P355" i="1"/>
  <c r="P503" i="1"/>
  <c r="P431" i="1"/>
  <c r="P381" i="1"/>
  <c r="P490" i="1"/>
  <c r="P505" i="1"/>
  <c r="P419" i="1"/>
  <c r="P474" i="1"/>
  <c r="P458" i="1"/>
  <c r="P330" i="1"/>
  <c r="P363" i="1"/>
  <c r="P500" i="1"/>
  <c r="P332" i="1"/>
  <c r="P494" i="1"/>
  <c r="P479" i="1"/>
  <c r="P468" i="1"/>
  <c r="P486" i="1"/>
  <c r="P491" i="1"/>
  <c r="P488" i="1"/>
  <c r="P501" i="1"/>
  <c r="P506" i="1"/>
  <c r="P482" i="1"/>
  <c r="P499" i="1"/>
  <c r="P483" i="1"/>
  <c r="P461" i="1"/>
  <c r="P472" i="1"/>
  <c r="P464" i="1"/>
  <c r="P504" i="1"/>
  <c r="P480" i="1"/>
  <c r="P495" i="1"/>
  <c r="P471" i="1"/>
  <c r="P496" i="1"/>
  <c r="P489" i="1"/>
  <c r="P466" i="1"/>
  <c r="P427" i="1"/>
  <c r="P487" i="1"/>
  <c r="P354" i="1"/>
  <c r="P477" i="1"/>
  <c r="P462" i="1"/>
  <c r="P493" i="1"/>
  <c r="P467" i="1"/>
  <c r="P470" i="1"/>
  <c r="P457" i="1"/>
  <c r="P485" i="1"/>
  <c r="P497" i="1"/>
  <c r="P469" i="1"/>
  <c r="P439" i="1"/>
  <c r="P418" i="1"/>
  <c r="P402" i="1"/>
  <c r="P437" i="1"/>
  <c r="P387" i="1"/>
  <c r="P436" i="1"/>
  <c r="P455" i="1"/>
  <c r="P386" i="1"/>
  <c r="P395" i="1"/>
  <c r="P417" i="1"/>
  <c r="P384" i="1"/>
  <c r="P447" i="1"/>
  <c r="P443" i="1"/>
  <c r="P411" i="1"/>
  <c r="P430" i="1"/>
  <c r="P435" i="1"/>
  <c r="P385" i="1"/>
  <c r="P442" i="1"/>
  <c r="P399" i="1"/>
  <c r="P405" i="1"/>
  <c r="P401" i="1"/>
  <c r="P452" i="1"/>
  <c r="P396" i="1"/>
  <c r="P434" i="1"/>
  <c r="P456" i="1"/>
  <c r="P448" i="1"/>
  <c r="P382" i="1"/>
  <c r="P400" i="1"/>
  <c r="P392" i="1"/>
  <c r="P422" i="1"/>
  <c r="P416" i="1"/>
  <c r="P393" i="1"/>
  <c r="P407" i="1"/>
  <c r="P445" i="1"/>
  <c r="P406" i="1"/>
  <c r="P450" i="1"/>
  <c r="P415" i="1"/>
  <c r="P366" i="1"/>
  <c r="P389" i="1"/>
  <c r="P449" i="1"/>
  <c r="P446" i="1"/>
  <c r="P413" i="1"/>
  <c r="P398" i="1"/>
  <c r="P423" i="1"/>
  <c r="P429" i="1"/>
  <c r="P414" i="1"/>
  <c r="P444" i="1"/>
  <c r="P383" i="1"/>
  <c r="P388" i="1"/>
  <c r="P404" i="1"/>
  <c r="P440" i="1"/>
  <c r="P348" i="1"/>
  <c r="P370" i="1"/>
  <c r="P359" i="1"/>
  <c r="P334" i="1"/>
  <c r="P340" i="1"/>
  <c r="P375" i="1"/>
  <c r="P347" i="1"/>
  <c r="P373" i="1"/>
  <c r="P380" i="1"/>
  <c r="P353" i="1"/>
  <c r="P344" i="1"/>
  <c r="P329" i="1"/>
  <c r="P333" i="1"/>
  <c r="P337" i="1"/>
  <c r="P352" i="1"/>
  <c r="P367" i="1"/>
  <c r="P342" i="1"/>
  <c r="P343" i="1"/>
  <c r="P360" i="1"/>
  <c r="P349" i="1"/>
  <c r="P326" i="1"/>
  <c r="P327" i="1"/>
  <c r="P365" i="1"/>
  <c r="P356" i="1"/>
  <c r="P378" i="1"/>
  <c r="P331" i="1"/>
  <c r="P336" i="1"/>
  <c r="P374" i="1"/>
  <c r="P325" i="1"/>
  <c r="P324" i="1"/>
  <c r="P322" i="1"/>
  <c r="P323" i="1"/>
  <c r="P264" i="1"/>
  <c r="P304" i="1"/>
  <c r="P249" i="1"/>
  <c r="O59" i="2"/>
  <c r="P300" i="1"/>
  <c r="P299" i="1"/>
  <c r="P295" i="1"/>
  <c r="P311" i="1"/>
  <c r="P297" i="1"/>
  <c r="P296" i="1"/>
  <c r="P290" i="1"/>
  <c r="O3" i="2"/>
  <c r="P302" i="1"/>
  <c r="P269" i="1"/>
  <c r="P317" i="1"/>
  <c r="P306" i="1"/>
  <c r="P310" i="1"/>
  <c r="P291" i="1"/>
  <c r="P318" i="1"/>
  <c r="P313" i="1"/>
  <c r="P315" i="1"/>
  <c r="P289" i="1"/>
  <c r="P301" i="1"/>
  <c r="P298" i="1"/>
  <c r="P248" i="1"/>
  <c r="P305" i="1"/>
  <c r="P316" i="1"/>
  <c r="P232" i="1"/>
  <c r="P321" i="1"/>
  <c r="P320" i="1"/>
  <c r="P309" i="1"/>
  <c r="P293" i="1"/>
  <c r="P307" i="1"/>
  <c r="P292" i="1"/>
  <c r="P319" i="1"/>
  <c r="P314" i="1"/>
  <c r="P294" i="1"/>
  <c r="P288" i="1"/>
  <c r="P280" i="1"/>
  <c r="P312" i="1"/>
  <c r="P303" i="1"/>
  <c r="P287" i="1"/>
  <c r="P308" i="1"/>
  <c r="P218" i="1"/>
  <c r="P234" i="1"/>
  <c r="P281" i="1"/>
  <c r="P217" i="1"/>
  <c r="P286" i="1"/>
  <c r="P254" i="1"/>
  <c r="P222" i="1"/>
  <c r="P237" i="1"/>
  <c r="P279" i="1"/>
  <c r="P263" i="1"/>
  <c r="P247" i="1"/>
  <c r="P231" i="1"/>
  <c r="P274" i="1"/>
  <c r="P258" i="1"/>
  <c r="P273" i="1"/>
  <c r="P241" i="1"/>
  <c r="P278" i="1"/>
  <c r="P246" i="1"/>
  <c r="P261" i="1"/>
  <c r="P229" i="1"/>
  <c r="P276" i="1"/>
  <c r="P260" i="1"/>
  <c r="P244" i="1"/>
  <c r="P228" i="1"/>
  <c r="P275" i="1"/>
  <c r="P259" i="1"/>
  <c r="P243" i="1"/>
  <c r="P227" i="1"/>
  <c r="P282" i="1"/>
  <c r="P242" i="1"/>
  <c r="P226" i="1"/>
  <c r="P265" i="1"/>
  <c r="P233" i="1"/>
  <c r="P270" i="1"/>
  <c r="P238" i="1"/>
  <c r="P285" i="1"/>
  <c r="P253" i="1"/>
  <c r="P221" i="1"/>
  <c r="P272" i="1"/>
  <c r="P256" i="1"/>
  <c r="P240" i="1"/>
  <c r="P224" i="1"/>
  <c r="P271" i="1"/>
  <c r="P255" i="1"/>
  <c r="P239" i="1"/>
  <c r="P223" i="1"/>
  <c r="P207" i="1"/>
  <c r="P250" i="1"/>
  <c r="P266" i="1"/>
  <c r="P257" i="1"/>
  <c r="P225" i="1"/>
  <c r="P262" i="1"/>
  <c r="P230" i="1"/>
  <c r="P277" i="1"/>
  <c r="P245" i="1"/>
  <c r="P284" i="1"/>
  <c r="P268" i="1"/>
  <c r="P252" i="1"/>
  <c r="P236" i="1"/>
  <c r="P220" i="1"/>
  <c r="P283" i="1"/>
  <c r="P267" i="1"/>
  <c r="P251" i="1"/>
  <c r="P235" i="1"/>
  <c r="P219" i="1"/>
  <c r="P202" i="1"/>
  <c r="P206" i="1"/>
  <c r="P205" i="1"/>
  <c r="P208" i="1"/>
  <c r="P211" i="1"/>
  <c r="P210" i="1"/>
  <c r="P209" i="1"/>
  <c r="P204" i="1"/>
  <c r="P201" i="1"/>
  <c r="P216" i="1"/>
  <c r="P200" i="1"/>
  <c r="P203" i="1"/>
  <c r="P214" i="1"/>
  <c r="P213" i="1"/>
  <c r="P212" i="1"/>
  <c r="P215" i="1"/>
  <c r="P199" i="1"/>
  <c r="P163" i="1"/>
  <c r="O22" i="2"/>
  <c r="P98" i="1"/>
  <c r="P128" i="1"/>
  <c r="P115" i="1"/>
  <c r="P146" i="1"/>
  <c r="P144" i="1"/>
  <c r="P154" i="1"/>
  <c r="P197" i="1"/>
  <c r="P142" i="1"/>
  <c r="P56" i="1"/>
  <c r="P160" i="1"/>
  <c r="P80" i="1"/>
  <c r="O45" i="2"/>
  <c r="P131" i="1"/>
  <c r="P138" i="1"/>
  <c r="P105" i="1"/>
  <c r="P106" i="1"/>
  <c r="P155" i="1"/>
  <c r="P176" i="1"/>
  <c r="P83" i="1"/>
  <c r="P10" i="1"/>
  <c r="P112" i="1"/>
  <c r="P19" i="1"/>
  <c r="P110" i="1"/>
  <c r="P16" i="1"/>
  <c r="P51" i="1"/>
  <c r="P122" i="1"/>
  <c r="P114" i="1"/>
  <c r="P194" i="1"/>
  <c r="P66" i="1"/>
  <c r="P193" i="1"/>
  <c r="P161" i="1"/>
  <c r="P129" i="1"/>
  <c r="P97" i="1"/>
  <c r="P65" i="1"/>
  <c r="P33" i="1"/>
  <c r="P198" i="1"/>
  <c r="P166" i="1"/>
  <c r="P134" i="1"/>
  <c r="P102" i="1"/>
  <c r="P70" i="1"/>
  <c r="P38" i="1"/>
  <c r="P189" i="1"/>
  <c r="P157" i="1"/>
  <c r="P125" i="1"/>
  <c r="P93" i="1"/>
  <c r="P61" i="1"/>
  <c r="P26" i="1"/>
  <c r="P21" i="1"/>
  <c r="P188" i="1"/>
  <c r="P172" i="1"/>
  <c r="P156" i="1"/>
  <c r="P140" i="1"/>
  <c r="P124" i="1"/>
  <c r="P108" i="1"/>
  <c r="P92" i="1"/>
  <c r="P76" i="1"/>
  <c r="P60" i="1"/>
  <c r="P44" i="1"/>
  <c r="P28" i="1"/>
  <c r="P12" i="1"/>
  <c r="P191" i="1"/>
  <c r="P175" i="1"/>
  <c r="P159" i="1"/>
  <c r="P143" i="1"/>
  <c r="P127" i="1"/>
  <c r="P111" i="1"/>
  <c r="P95" i="1"/>
  <c r="P79" i="1"/>
  <c r="P63" i="1"/>
  <c r="P47" i="1"/>
  <c r="P31" i="1"/>
  <c r="P15" i="1"/>
  <c r="P169" i="1"/>
  <c r="P137" i="1"/>
  <c r="P41" i="1"/>
  <c r="P46" i="1"/>
  <c r="P165" i="1"/>
  <c r="P133" i="1"/>
  <c r="P37" i="1"/>
  <c r="P25" i="1"/>
  <c r="P48" i="1"/>
  <c r="P195" i="1"/>
  <c r="P179" i="1"/>
  <c r="P147" i="1"/>
  <c r="P99" i="1"/>
  <c r="P67" i="1"/>
  <c r="P35" i="1"/>
  <c r="P90" i="1"/>
  <c r="P82" i="1"/>
  <c r="P74" i="1"/>
  <c r="P162" i="1"/>
  <c r="P42" i="1"/>
  <c r="P185" i="1"/>
  <c r="P153" i="1"/>
  <c r="P121" i="1"/>
  <c r="P89" i="1"/>
  <c r="P57" i="1"/>
  <c r="P18" i="1"/>
  <c r="P190" i="1"/>
  <c r="P158" i="1"/>
  <c r="P126" i="1"/>
  <c r="P94" i="1"/>
  <c r="P62" i="1"/>
  <c r="P30" i="1"/>
  <c r="P181" i="1"/>
  <c r="P149" i="1"/>
  <c r="P117" i="1"/>
  <c r="P85" i="1"/>
  <c r="P53" i="1"/>
  <c r="P17" i="1"/>
  <c r="P184" i="1"/>
  <c r="P168" i="1"/>
  <c r="P152" i="1"/>
  <c r="P136" i="1"/>
  <c r="P120" i="1"/>
  <c r="P104" i="1"/>
  <c r="P88" i="1"/>
  <c r="P72" i="1"/>
  <c r="P40" i="1"/>
  <c r="P24" i="1"/>
  <c r="P8" i="1"/>
  <c r="P187" i="1"/>
  <c r="P171" i="1"/>
  <c r="P139" i="1"/>
  <c r="P123" i="1"/>
  <c r="P107" i="1"/>
  <c r="P91" i="1"/>
  <c r="P75" i="1"/>
  <c r="P59" i="1"/>
  <c r="P43" i="1"/>
  <c r="P27" i="1"/>
  <c r="P11" i="1"/>
  <c r="P22" i="1"/>
  <c r="P73" i="1"/>
  <c r="P174" i="1"/>
  <c r="P78" i="1"/>
  <c r="P101" i="1"/>
  <c r="P69" i="1"/>
  <c r="P9" i="1"/>
  <c r="P192" i="1"/>
  <c r="P96" i="1"/>
  <c r="P64" i="1"/>
  <c r="P32" i="1"/>
  <c r="P186" i="1"/>
  <c r="P58" i="1"/>
  <c r="P178" i="1"/>
  <c r="P50" i="1"/>
  <c r="P170" i="1"/>
  <c r="P130" i="1"/>
  <c r="P34" i="1"/>
  <c r="P177" i="1"/>
  <c r="P145" i="1"/>
  <c r="P113" i="1"/>
  <c r="P81" i="1"/>
  <c r="P49" i="1"/>
  <c r="P182" i="1"/>
  <c r="P150" i="1"/>
  <c r="P118" i="1"/>
  <c r="P86" i="1"/>
  <c r="P54" i="1"/>
  <c r="P14" i="1"/>
  <c r="P173" i="1"/>
  <c r="P141" i="1"/>
  <c r="P109" i="1"/>
  <c r="P77" i="1"/>
  <c r="P45" i="1"/>
  <c r="P29" i="1"/>
  <c r="P13" i="1"/>
  <c r="P196" i="1"/>
  <c r="P180" i="1"/>
  <c r="P164" i="1"/>
  <c r="P148" i="1"/>
  <c r="P132" i="1"/>
  <c r="P116" i="1"/>
  <c r="P100" i="1"/>
  <c r="P84" i="1"/>
  <c r="P68" i="1"/>
  <c r="P52" i="1"/>
  <c r="P36" i="1"/>
  <c r="P20" i="1"/>
  <c r="P183" i="1"/>
  <c r="P167" i="1"/>
  <c r="P151" i="1"/>
  <c r="P135" i="1"/>
  <c r="P119" i="1"/>
  <c r="P103" i="1"/>
  <c r="P87" i="1"/>
  <c r="P71" i="1"/>
  <c r="P55" i="1"/>
  <c r="P39" i="1"/>
  <c r="P23" i="1"/>
  <c r="Z29" i="1"/>
  <c r="AA29" i="1" s="1"/>
  <c r="AB29" i="1" s="1"/>
  <c r="Z37" i="1"/>
  <c r="AA37" i="1" s="1"/>
  <c r="AB37" i="1" s="1"/>
  <c r="O96" i="2"/>
  <c r="O40" i="2"/>
  <c r="Z35" i="1"/>
  <c r="AA35" i="1" s="1"/>
  <c r="AB35" i="1" s="1"/>
  <c r="O90" i="2"/>
  <c r="Z60" i="1"/>
  <c r="AA60" i="1" s="1"/>
  <c r="AB60" i="1" s="1"/>
  <c r="O80" i="2"/>
  <c r="Z75" i="1"/>
  <c r="AA75" i="1" s="1"/>
  <c r="AB75" i="1" s="1"/>
  <c r="O82" i="2"/>
  <c r="O42" i="2"/>
  <c r="Z64" i="1"/>
  <c r="AA64" i="1" s="1"/>
  <c r="AB64" i="1" s="1"/>
  <c r="Z43" i="1"/>
  <c r="AA43" i="1" s="1"/>
  <c r="AB43" i="1" s="1"/>
  <c r="O49" i="2"/>
  <c r="Z27" i="1"/>
  <c r="AA27" i="1" s="1"/>
  <c r="AB27" i="1" s="1"/>
  <c r="O26" i="2"/>
  <c r="O54" i="2"/>
  <c r="Z67" i="1"/>
  <c r="AA67" i="1" s="1"/>
  <c r="AB67" i="1" s="1"/>
  <c r="Z22" i="1"/>
  <c r="AA22" i="1" s="1"/>
  <c r="AB22" i="1" s="1"/>
  <c r="O30" i="2"/>
  <c r="Z79" i="1"/>
  <c r="AA79" i="1" s="1"/>
  <c r="AB79" i="1" s="1"/>
  <c r="Z28" i="1"/>
  <c r="AA28" i="1" s="1"/>
  <c r="AB28" i="1" s="1"/>
  <c r="O41" i="2"/>
  <c r="Z82" i="1"/>
  <c r="AA82" i="1" s="1"/>
  <c r="AB82" i="1" s="1"/>
  <c r="O86" i="2"/>
  <c r="Z14" i="1"/>
  <c r="AA14" i="1" s="1"/>
  <c r="AB14" i="1" s="1"/>
  <c r="Z11" i="1"/>
  <c r="AA11" i="1" s="1"/>
  <c r="AB11" i="1" s="1"/>
  <c r="AA106" i="1"/>
  <c r="AB106" i="1" s="1"/>
  <c r="Z52" i="1"/>
  <c r="AA52" i="1" s="1"/>
  <c r="AB52" i="1" s="1"/>
  <c r="O15" i="2"/>
  <c r="Z12" i="1"/>
  <c r="AA12" i="1" s="1"/>
  <c r="AB12" i="1" s="1"/>
  <c r="O52" i="2"/>
  <c r="Z8" i="1"/>
  <c r="AA8" i="1" s="1"/>
  <c r="AB8" i="1" s="1"/>
  <c r="O72" i="2"/>
  <c r="Z56" i="1"/>
  <c r="AA56" i="1" s="1"/>
  <c r="AB56" i="1" s="1"/>
  <c r="Z39" i="1"/>
  <c r="AA39" i="1" s="1"/>
  <c r="AB39" i="1" s="1"/>
  <c r="Z47" i="1"/>
  <c r="AA47" i="1" s="1"/>
  <c r="AB47" i="1" s="1"/>
  <c r="Z61" i="1"/>
  <c r="AA61" i="1" s="1"/>
  <c r="AB61" i="1" s="1"/>
  <c r="Z68" i="1"/>
  <c r="AA68" i="1" s="1"/>
  <c r="AB68" i="1" s="1"/>
  <c r="Z33" i="1"/>
  <c r="AA33" i="1" s="1"/>
  <c r="AB33" i="1" s="1"/>
  <c r="Z20" i="1"/>
  <c r="AA20" i="1" s="1"/>
  <c r="AB20" i="1" s="1"/>
  <c r="O61" i="2"/>
  <c r="Z57" i="1"/>
  <c r="AA57" i="1" s="1"/>
  <c r="AB57" i="1" s="1"/>
  <c r="O28" i="2"/>
  <c r="Z17" i="1"/>
  <c r="AA17" i="1" s="1"/>
  <c r="AB17" i="1" s="1"/>
  <c r="O58" i="2"/>
  <c r="Z91" i="1"/>
  <c r="AA91" i="1" s="1"/>
  <c r="AB91" i="1" s="1"/>
  <c r="Z77" i="1"/>
  <c r="AA77" i="1" s="1"/>
  <c r="AB77" i="1" s="1"/>
  <c r="O36" i="2"/>
  <c r="Z38" i="1"/>
  <c r="AA38" i="1" s="1"/>
  <c r="AB38" i="1" s="1"/>
  <c r="Z55" i="1"/>
  <c r="AA55" i="1" s="1"/>
  <c r="AB55" i="1" s="1"/>
  <c r="Z50" i="1"/>
  <c r="AA50" i="1" s="1"/>
  <c r="AB50" i="1" s="1"/>
  <c r="O21" i="2"/>
  <c r="O85" i="2"/>
  <c r="Z71" i="1"/>
  <c r="AA71" i="1" s="1"/>
  <c r="AB71" i="1" s="1"/>
  <c r="Z13" i="1"/>
  <c r="AA13" i="1" s="1"/>
  <c r="AB13" i="1" s="1"/>
  <c r="Z13" i="2"/>
  <c r="Z21" i="1"/>
  <c r="AA21" i="1" s="1"/>
  <c r="AA17" i="2"/>
  <c r="AA7" i="2"/>
  <c r="AD17" i="2"/>
  <c r="AD8" i="2"/>
  <c r="AD12" i="2"/>
  <c r="Z23" i="1"/>
  <c r="AA23" i="1" s="1"/>
  <c r="AB23" i="1" s="1"/>
  <c r="AB6" i="2"/>
  <c r="Z97" i="1"/>
  <c r="AA97" i="1" s="1"/>
  <c r="AB97" i="1" s="1"/>
  <c r="AB21" i="2"/>
  <c r="AD27" i="2"/>
  <c r="AB11" i="2"/>
  <c r="Z36" i="1"/>
  <c r="AA36" i="1" s="1"/>
  <c r="Z51" i="1"/>
  <c r="AA51" i="1" s="1"/>
  <c r="AB51" i="1" s="1"/>
  <c r="Z31" i="1"/>
  <c r="AA31" i="1" s="1"/>
  <c r="AB31" i="1" s="1"/>
  <c r="O20" i="2"/>
  <c r="Z66" i="1"/>
  <c r="AA66" i="1" s="1"/>
  <c r="AB66" i="1" s="1"/>
  <c r="Y28" i="2"/>
  <c r="Z14" i="2"/>
  <c r="Z16" i="1"/>
  <c r="AA16" i="1" s="1"/>
  <c r="Z18" i="1"/>
  <c r="AA18" i="1" s="1"/>
  <c r="Z92" i="1"/>
  <c r="AA92" i="1" s="1"/>
  <c r="AB92" i="1" s="1"/>
  <c r="O65" i="2"/>
  <c r="AC16" i="2"/>
  <c r="AC28" i="2"/>
  <c r="Z88" i="1"/>
  <c r="AA88" i="1" s="1"/>
  <c r="AB88" i="1" s="1"/>
  <c r="O11" i="2"/>
  <c r="Z21" i="2"/>
  <c r="AA23" i="2"/>
  <c r="AA8" i="2"/>
  <c r="Z101" i="1"/>
  <c r="AA101" i="1" s="1"/>
  <c r="AB101" i="1" s="1"/>
  <c r="Y7" i="2"/>
  <c r="AB24" i="2"/>
  <c r="AC23" i="2"/>
  <c r="AC17" i="2"/>
  <c r="Z78" i="1"/>
  <c r="AA78" i="1" s="1"/>
  <c r="AB78" i="1" s="1"/>
  <c r="AA22" i="2"/>
  <c r="O55" i="2"/>
  <c r="O76" i="2"/>
  <c r="Z48" i="1"/>
  <c r="AA48" i="1" s="1"/>
  <c r="AB48" i="1" s="1"/>
  <c r="Y4" i="2"/>
  <c r="Z4" i="2"/>
  <c r="Z16" i="2"/>
  <c r="Y12" i="2"/>
  <c r="AD23" i="2"/>
  <c r="Z22" i="2"/>
  <c r="Z25" i="2"/>
  <c r="Y9" i="2"/>
  <c r="O68" i="2"/>
  <c r="AB23" i="2"/>
  <c r="AD7" i="2"/>
  <c r="Z54" i="1"/>
  <c r="AA54" i="1" s="1"/>
  <c r="AB54" i="1" s="1"/>
  <c r="Z70" i="1"/>
  <c r="AA70" i="1" s="1"/>
  <c r="AB70" i="1" s="1"/>
  <c r="AD10" i="2"/>
  <c r="Z15" i="2"/>
  <c r="Y6" i="2"/>
  <c r="Y26" i="2"/>
  <c r="AD21" i="2"/>
  <c r="AC10" i="2"/>
  <c r="Z12" i="2"/>
  <c r="Y16" i="2"/>
  <c r="Z96" i="1"/>
  <c r="AA96" i="1" s="1"/>
  <c r="AB96" i="1" s="1"/>
  <c r="Z9" i="1"/>
  <c r="AA9" i="1" s="1"/>
  <c r="Z83" i="1"/>
  <c r="AA83" i="1" s="1"/>
  <c r="AB83" i="1" s="1"/>
  <c r="Z6" i="2"/>
  <c r="Y8" i="2"/>
  <c r="Y25" i="2"/>
  <c r="Y15" i="2"/>
  <c r="AB5" i="2"/>
  <c r="AD14" i="2"/>
  <c r="AD15" i="2"/>
  <c r="Y22" i="2"/>
  <c r="AA4" i="2"/>
  <c r="AD6" i="2"/>
  <c r="AD20" i="2"/>
  <c r="Y20" i="2"/>
  <c r="AB22" i="2"/>
  <c r="AD13" i="2"/>
  <c r="AD19" i="2"/>
  <c r="Z10" i="2"/>
  <c r="AC18" i="2"/>
  <c r="AD9" i="2"/>
  <c r="AC25" i="2"/>
  <c r="AD4" i="2"/>
  <c r="Z24" i="2"/>
  <c r="AC27" i="2"/>
  <c r="Z11" i="2"/>
  <c r="AA27" i="2"/>
  <c r="AB4" i="2"/>
  <c r="AB17" i="2"/>
  <c r="AA18" i="2"/>
  <c r="AB9" i="2"/>
  <c r="Z93" i="1"/>
  <c r="AA93" i="1" s="1"/>
  <c r="AB93" i="1" s="1"/>
  <c r="O83" i="2"/>
  <c r="O95" i="2"/>
  <c r="AA24" i="2"/>
  <c r="Y10" i="2"/>
  <c r="AC15" i="2"/>
  <c r="Y27" i="2"/>
  <c r="Z26" i="2"/>
  <c r="AA21" i="2"/>
  <c r="AB16" i="2"/>
  <c r="AC8" i="2"/>
  <c r="AA16" i="2"/>
  <c r="Y21" i="2"/>
  <c r="AB25" i="2"/>
  <c r="Y18" i="2"/>
  <c r="Z102" i="1"/>
  <c r="AA102" i="1" s="1"/>
  <c r="AB102" i="1" s="1"/>
  <c r="AA26" i="2"/>
  <c r="Z23" i="2"/>
  <c r="AC7" i="2"/>
  <c r="Z73" i="1"/>
  <c r="AA73" i="1" s="1"/>
  <c r="AB73" i="1" s="1"/>
  <c r="O70" i="2"/>
  <c r="AC26" i="2"/>
  <c r="AB7" i="2"/>
  <c r="Y13" i="2"/>
  <c r="AC13" i="2"/>
  <c r="Z19" i="2"/>
  <c r="AC24" i="2"/>
  <c r="Z5" i="2"/>
  <c r="Z95" i="1"/>
  <c r="AA95" i="1" s="1"/>
  <c r="AB95" i="1" s="1"/>
  <c r="AD16" i="2"/>
  <c r="Z42" i="1"/>
  <c r="AA42" i="1" s="1"/>
  <c r="AB42" i="1" s="1"/>
  <c r="Z81" i="1"/>
  <c r="AA81" i="1" s="1"/>
  <c r="AB81" i="1" s="1"/>
  <c r="Z85" i="1"/>
  <c r="AA85" i="1" s="1"/>
  <c r="AB85" i="1" s="1"/>
  <c r="O37" i="2"/>
  <c r="Z17" i="2"/>
  <c r="AC20" i="2"/>
  <c r="Z9" i="2"/>
  <c r="AB10" i="2"/>
  <c r="Z18" i="2"/>
  <c r="AA5" i="2"/>
  <c r="AB26" i="2"/>
  <c r="Y23" i="2"/>
  <c r="AB28" i="2"/>
  <c r="AA12" i="2"/>
  <c r="Y11" i="2"/>
  <c r="AA10" i="2"/>
  <c r="AA14" i="2"/>
  <c r="AB20" i="2"/>
  <c r="AB27" i="2"/>
  <c r="AD22" i="2"/>
  <c r="Y5" i="2"/>
  <c r="Z28" i="2"/>
  <c r="Z7" i="2"/>
  <c r="AD26" i="2"/>
  <c r="O94" i="2"/>
  <c r="AC4" i="2"/>
  <c r="AB12" i="2"/>
  <c r="AA25" i="2"/>
  <c r="AA13" i="2"/>
  <c r="AA9" i="2"/>
  <c r="Z27" i="2"/>
  <c r="AD11" i="2"/>
  <c r="Z20" i="2"/>
  <c r="AA28" i="2"/>
  <c r="AB19" i="2"/>
  <c r="AB8" i="2"/>
  <c r="AB14" i="2"/>
  <c r="AC11" i="2"/>
  <c r="Y19" i="2"/>
  <c r="Y17" i="2"/>
  <c r="AC6" i="2"/>
  <c r="AD18" i="2"/>
  <c r="AC12" i="2"/>
  <c r="AC22" i="2"/>
  <c r="Y24" i="2"/>
  <c r="Y14" i="2"/>
  <c r="AC19" i="2"/>
  <c r="Z8" i="2"/>
  <c r="AA20" i="2"/>
  <c r="AB13" i="2"/>
  <c r="AA6" i="2"/>
  <c r="AD5" i="2"/>
  <c r="AC14" i="2"/>
  <c r="AD24" i="2"/>
  <c r="AC9" i="2"/>
  <c r="AA11" i="2"/>
  <c r="AB15" i="2"/>
  <c r="AA15" i="2"/>
  <c r="AA19" i="2"/>
  <c r="AC5" i="2"/>
  <c r="AD25" i="2"/>
  <c r="AC21" i="2"/>
  <c r="AB18" i="2"/>
  <c r="AD28" i="2"/>
  <c r="O6" i="2"/>
  <c r="Z10" i="1"/>
  <c r="AB36" i="1" l="1"/>
  <c r="AB21" i="1"/>
  <c r="AB18" i="1"/>
  <c r="AB9" i="1"/>
  <c r="AB16" i="1"/>
  <c r="AA10" i="1"/>
  <c r="AB10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indzara</author>
  </authors>
  <commentList>
    <comment ref="P4" authorId="0" shapeId="0" xr:uid="{ADC41A9D-169F-4C3B-B846-E51D621E2E87}">
      <text>
        <r>
          <rPr>
            <b/>
            <sz val="9"/>
            <color rgb="FF000000"/>
            <rFont val="Tahoma"/>
            <family val="2"/>
          </rPr>
          <t>indzara: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Enter separator character(s)</t>
        </r>
      </text>
    </comment>
  </commentList>
</comments>
</file>

<file path=xl/sharedStrings.xml><?xml version="1.0" encoding="utf-8"?>
<sst xmlns="http://schemas.openxmlformats.org/spreadsheetml/2006/main" count="1109" uniqueCount="1108">
  <si>
    <t>LOCATION</t>
  </si>
  <si>
    <t>DEPARTMENT</t>
  </si>
  <si>
    <t>LOCATION - DEPARTMENT</t>
  </si>
  <si>
    <t>N</t>
  </si>
  <si>
    <t>Value counts</t>
  </si>
  <si>
    <t>LIST 1</t>
  </si>
  <si>
    <t>LIST 2</t>
  </si>
  <si>
    <t>LIST 3</t>
  </si>
  <si>
    <t>LIST 4</t>
  </si>
  <si>
    <t>LIST 5</t>
  </si>
  <si>
    <t>LIST 6</t>
  </si>
  <si>
    <t>Combination #</t>
  </si>
  <si>
    <t>N_1</t>
  </si>
  <si>
    <t>N_5</t>
  </si>
  <si>
    <t>N_2</t>
  </si>
  <si>
    <t>N_3</t>
  </si>
  <si>
    <t>N_4</t>
  </si>
  <si>
    <t>VALIDATIONS</t>
  </si>
  <si>
    <t>DROP DOWN</t>
  </si>
  <si>
    <t>LIST</t>
  </si>
  <si>
    <t>ENTER VALUES IN LISTS BELOW</t>
  </si>
  <si>
    <t>COMBINATIONS GENERATOR</t>
  </si>
  <si>
    <t>indzara.com</t>
  </si>
  <si>
    <t>VIEW LIST OF COMBINATIONS BELOW</t>
  </si>
  <si>
    <t>L1</t>
  </si>
  <si>
    <t>L2</t>
  </si>
  <si>
    <t>L3</t>
  </si>
  <si>
    <t>L4</t>
  </si>
  <si>
    <t>L5</t>
  </si>
  <si>
    <t>L6</t>
  </si>
  <si>
    <t>Repeat After</t>
  </si>
  <si>
    <t>No Blanks in the middle of any lists</t>
  </si>
  <si>
    <t>Valid Lists</t>
  </si>
  <si>
    <t>LISTS</t>
  </si>
  <si>
    <t>COMBINATIONS</t>
  </si>
  <si>
    <t>Maximum combinations: 500</t>
  </si>
  <si>
    <t>ROW NUMBERS</t>
  </si>
  <si>
    <t>VALUES</t>
  </si>
  <si>
    <t>Max Lists: 6</t>
  </si>
  <si>
    <t>Enter lists sequentially (Eg. do not enter list 5 without list 4)</t>
  </si>
  <si>
    <t>SEPARATOR</t>
  </si>
  <si>
    <t xml:space="preserve"> </t>
  </si>
  <si>
    <t>Protein Carbs Fats Vegetables</t>
  </si>
  <si>
    <t>Banana Blueberries Blueberries Oats</t>
  </si>
  <si>
    <t>Banana Blueberries Blueberries Honey</t>
  </si>
  <si>
    <t>Banana Blueberries Blueberries Dates</t>
  </si>
  <si>
    <t>Banana Blueberries Blueberries Maple Syrup</t>
  </si>
  <si>
    <t>Banana Blueberries Blueberries Granola</t>
  </si>
  <si>
    <t>Banana Blueberries Strawberries Oats</t>
  </si>
  <si>
    <t>Banana Blueberries Strawberries Honey</t>
  </si>
  <si>
    <t>Banana Blueberries Strawberries Dates</t>
  </si>
  <si>
    <t>Banana Blueberries Strawberries Maple Syrup</t>
  </si>
  <si>
    <t>Banana Blueberries Strawberries Granola</t>
  </si>
  <si>
    <t>Banana Blueberries Mango Oats</t>
  </si>
  <si>
    <t>Banana Blueberries Mango Honey</t>
  </si>
  <si>
    <t>Banana Blueberries Mango Dates</t>
  </si>
  <si>
    <t>Banana Blueberries Mango Maple Syrup</t>
  </si>
  <si>
    <t>Banana Blueberries Mango Granola</t>
  </si>
  <si>
    <t>Banana Blueberries Pineapple Oats</t>
  </si>
  <si>
    <t>Banana Blueberries Pineapple Honey</t>
  </si>
  <si>
    <t>Banana Blueberries Pineapple Dates</t>
  </si>
  <si>
    <t>Banana Blueberries Pineapple Maple Syrup</t>
  </si>
  <si>
    <t>Banana Blueberries Pineapple Granola</t>
  </si>
  <si>
    <t>Banana Blueberries Peach Oats</t>
  </si>
  <si>
    <t>Banana Blueberries Peach Honey</t>
  </si>
  <si>
    <t>Banana Blueberries Peach Dates</t>
  </si>
  <si>
    <t>Banana Blueberries Peach Maple Syrup</t>
  </si>
  <si>
    <t>Banana Blueberries Peach Granola</t>
  </si>
  <si>
    <t>Banana Blueberries Apple Oats</t>
  </si>
  <si>
    <t>Banana Blueberries Apple Honey</t>
  </si>
  <si>
    <t>Banana Blueberries Apple Dates</t>
  </si>
  <si>
    <t>Banana Blueberries Apple Maple Syrup</t>
  </si>
  <si>
    <t>Banana Blueberries Apple Granola</t>
  </si>
  <si>
    <t>Banana Blueberries Dates Oats</t>
  </si>
  <si>
    <t>Banana Blueberries Dates Honey</t>
  </si>
  <si>
    <t>Banana Blueberries Dates Dates</t>
  </si>
  <si>
    <t>Banana Blueberries Dates Maple Syrup</t>
  </si>
  <si>
    <t>Banana Blueberries Dates Granola</t>
  </si>
  <si>
    <t>Banana Blueberries Honey Oats</t>
  </si>
  <si>
    <t>Banana Blueberries Honey Honey</t>
  </si>
  <si>
    <t>Banana Blueberries Honey Dates</t>
  </si>
  <si>
    <t>Banana Blueberries Honey Maple Syrup</t>
  </si>
  <si>
    <t>Banana Blueberries Honey Granola</t>
  </si>
  <si>
    <t>Banana Rasberries Blueberries Oats</t>
  </si>
  <si>
    <t>Banana Rasberries Blueberries Honey</t>
  </si>
  <si>
    <t>Banana Rasberries Blueberries Dates</t>
  </si>
  <si>
    <t>Banana Rasberries Blueberries Maple Syrup</t>
  </si>
  <si>
    <t>Banana Rasberries Blueberries Granola</t>
  </si>
  <si>
    <t>Banana Rasberries Strawberries Oats</t>
  </si>
  <si>
    <t>Banana Rasberries Strawberries Honey</t>
  </si>
  <si>
    <t>Banana Rasberries Strawberries Dates</t>
  </si>
  <si>
    <t>Banana Rasberries Strawberries Maple Syrup</t>
  </si>
  <si>
    <t>Banana Rasberries Strawberries Granola</t>
  </si>
  <si>
    <t>Banana Rasberries Mango Oats</t>
  </si>
  <si>
    <t>Banana Rasberries Mango Honey</t>
  </si>
  <si>
    <t>Banana Rasberries Mango Dates</t>
  </si>
  <si>
    <t>Banana Rasberries Mango Maple Syrup</t>
  </si>
  <si>
    <t>Banana Rasberries Mango Granola</t>
  </si>
  <si>
    <t>Banana Rasberries Pineapple Oats</t>
  </si>
  <si>
    <t>Banana Rasberries Pineapple Honey</t>
  </si>
  <si>
    <t>Banana Rasberries Pineapple Dates</t>
  </si>
  <si>
    <t>Banana Rasberries Pineapple Maple Syrup</t>
  </si>
  <si>
    <t>Banana Rasberries Pineapple Granola</t>
  </si>
  <si>
    <t>Banana Rasberries Peach Oats</t>
  </si>
  <si>
    <t>Banana Rasberries Peach Honey</t>
  </si>
  <si>
    <t>Banana Rasberries Peach Dates</t>
  </si>
  <si>
    <t>Banana Rasberries Peach Maple Syrup</t>
  </si>
  <si>
    <t>Banana Rasberries Peach Granola</t>
  </si>
  <si>
    <t>Banana Rasberries Apple Oats</t>
  </si>
  <si>
    <t>Banana Rasberries Apple Honey</t>
  </si>
  <si>
    <t>Banana Rasberries Apple Dates</t>
  </si>
  <si>
    <t>Banana Rasberries Apple Maple Syrup</t>
  </si>
  <si>
    <t>Banana Rasberries Apple Granola</t>
  </si>
  <si>
    <t>Banana Rasberries Dates Oats</t>
  </si>
  <si>
    <t>Banana Rasberries Dates Honey</t>
  </si>
  <si>
    <t>Banana Rasberries Dates Dates</t>
  </si>
  <si>
    <t>Banana Rasberries Dates Maple Syrup</t>
  </si>
  <si>
    <t>Banana Rasberries Dates Granola</t>
  </si>
  <si>
    <t>Banana Rasberries Honey Oats</t>
  </si>
  <si>
    <t>Banana Rasberries Honey Honey</t>
  </si>
  <si>
    <t>Banana Rasberries Honey Dates</t>
  </si>
  <si>
    <t>Banana Rasberries Honey Maple Syrup</t>
  </si>
  <si>
    <t>Banana Rasberries Honey Granola</t>
  </si>
  <si>
    <t>Banana Blackberries Blueberries Oats</t>
  </si>
  <si>
    <t>Banana Blackberries Blueberries Honey</t>
  </si>
  <si>
    <t>Banana Blackberries Blueberries Dates</t>
  </si>
  <si>
    <t>Banana Blackberries Blueberries Maple Syrup</t>
  </si>
  <si>
    <t>Banana Blackberries Blueberries Granola</t>
  </si>
  <si>
    <t>Banana Blackberries Strawberries Oats</t>
  </si>
  <si>
    <t>Banana Blackberries Strawberries Honey</t>
  </si>
  <si>
    <t>Banana Blackberries Strawberries Dates</t>
  </si>
  <si>
    <t>Banana Blackberries Strawberries Maple Syrup</t>
  </si>
  <si>
    <t>Banana Blackberries Strawberries Granola</t>
  </si>
  <si>
    <t>Banana Blackberries Mango Oats</t>
  </si>
  <si>
    <t>Banana Blackberries Mango Honey</t>
  </si>
  <si>
    <t>Banana Blackberries Mango Dates</t>
  </si>
  <si>
    <t>Banana Blackberries Mango Maple Syrup</t>
  </si>
  <si>
    <t>Banana Blackberries Mango Granola</t>
  </si>
  <si>
    <t>Banana Blackberries Pineapple Oats</t>
  </si>
  <si>
    <t>Banana Blackberries Pineapple Honey</t>
  </si>
  <si>
    <t>Banana Blackberries Pineapple Dates</t>
  </si>
  <si>
    <t>Banana Blackberries Pineapple Maple Syrup</t>
  </si>
  <si>
    <t>Banana Blackberries Pineapple Granola</t>
  </si>
  <si>
    <t>Banana Blackberries Peach Oats</t>
  </si>
  <si>
    <t>Banana Blackberries Peach Honey</t>
  </si>
  <si>
    <t>Banana Blackberries Peach Dates</t>
  </si>
  <si>
    <t>Banana Blackberries Peach Maple Syrup</t>
  </si>
  <si>
    <t>Banana Blackberries Peach Granola</t>
  </si>
  <si>
    <t>Banana Blackberries Apple Oats</t>
  </si>
  <si>
    <t>Banana Blackberries Apple Honey</t>
  </si>
  <si>
    <t>Banana Blackberries Apple Dates</t>
  </si>
  <si>
    <t>Banana Blackberries Apple Maple Syrup</t>
  </si>
  <si>
    <t>Banana Blackberries Apple Granola</t>
  </si>
  <si>
    <t>Banana Blackberries Dates Oats</t>
  </si>
  <si>
    <t>Banana Blackberries Dates Honey</t>
  </si>
  <si>
    <t>Banana Blackberries Dates Dates</t>
  </si>
  <si>
    <t>Banana Blackberries Dates Maple Syrup</t>
  </si>
  <si>
    <t>Banana Blackberries Dates Granola</t>
  </si>
  <si>
    <t>Banana Blackberries Honey Oats</t>
  </si>
  <si>
    <t>Banana Blackberries Honey Honey</t>
  </si>
  <si>
    <t>Banana Blackberries Honey Dates</t>
  </si>
  <si>
    <t>Banana Blackberries Honey Maple Syrup</t>
  </si>
  <si>
    <t>Banana Blackberries Honey Granola</t>
  </si>
  <si>
    <t>Banana Cherries Blueberries Oats</t>
  </si>
  <si>
    <t>Banana Cherries Blueberries Honey</t>
  </si>
  <si>
    <t>Banana Cherries Blueberries Dates</t>
  </si>
  <si>
    <t>Banana Cherries Blueberries Maple Syrup</t>
  </si>
  <si>
    <t>Banana Cherries Blueberries Granola</t>
  </si>
  <si>
    <t>Banana Cherries Strawberries Oats</t>
  </si>
  <si>
    <t>Banana Cherries Strawberries Honey</t>
  </si>
  <si>
    <t>Banana Cherries Strawberries Dates</t>
  </si>
  <si>
    <t>Banana Cherries Strawberries Maple Syrup</t>
  </si>
  <si>
    <t>Banana Cherries Strawberries Granola</t>
  </si>
  <si>
    <t>Banana Cherries Mango Oats</t>
  </si>
  <si>
    <t>Banana Cherries Mango Honey</t>
  </si>
  <si>
    <t>Banana Cherries Mango Dates</t>
  </si>
  <si>
    <t>Banana Cherries Mango Maple Syrup</t>
  </si>
  <si>
    <t>Banana Cherries Mango Granola</t>
  </si>
  <si>
    <t>Banana Cherries Pineapple Oats</t>
  </si>
  <si>
    <t>Banana Cherries Pineapple Honey</t>
  </si>
  <si>
    <t>Banana Cherries Pineapple Dates</t>
  </si>
  <si>
    <t>Banana Cherries Pineapple Maple Syrup</t>
  </si>
  <si>
    <t>Banana Cherries Pineapple Granola</t>
  </si>
  <si>
    <t>Banana Cherries Peach Oats</t>
  </si>
  <si>
    <t>Banana Cherries Peach Honey</t>
  </si>
  <si>
    <t>Banana Cherries Peach Dates</t>
  </si>
  <si>
    <t>Banana Cherries Peach Maple Syrup</t>
  </si>
  <si>
    <t>Banana Cherries Peach Granola</t>
  </si>
  <si>
    <t>Banana Cherries Apple Oats</t>
  </si>
  <si>
    <t>Banana Cherries Apple Honey</t>
  </si>
  <si>
    <t>Banana Cherries Apple Dates</t>
  </si>
  <si>
    <t>Banana Cherries Apple Maple Syrup</t>
  </si>
  <si>
    <t>Banana Cherries Apple Granola</t>
  </si>
  <si>
    <t>Banana Cherries Dates Oats</t>
  </si>
  <si>
    <t>Banana Cherries Dates Honey</t>
  </si>
  <si>
    <t>Banana Cherries Dates Dates</t>
  </si>
  <si>
    <t>Banana Cherries Dates Maple Syrup</t>
  </si>
  <si>
    <t>Banana Cherries Dates Granola</t>
  </si>
  <si>
    <t>Banana Cherries Honey Oats</t>
  </si>
  <si>
    <t>Banana Cherries Honey Honey</t>
  </si>
  <si>
    <t>Banana Cherries Honey Dates</t>
  </si>
  <si>
    <t>Banana Cherries Honey Maple Syrup</t>
  </si>
  <si>
    <t>Banana Cherries Honey Granola</t>
  </si>
  <si>
    <t>Banana Strawberries Blueberries Oats</t>
  </si>
  <si>
    <t>Banana Strawberries Blueberries Honey</t>
  </si>
  <si>
    <t>Banana Strawberries Blueberries Dates</t>
  </si>
  <si>
    <t>Banana Strawberries Blueberries Maple Syrup</t>
  </si>
  <si>
    <t>Banana Strawberries Blueberries Granola</t>
  </si>
  <si>
    <t>Banana Strawberries Strawberries Oats</t>
  </si>
  <si>
    <t>Banana Strawberries Strawberries Honey</t>
  </si>
  <si>
    <t>Banana Strawberries Strawberries Dates</t>
  </si>
  <si>
    <t>Banana Strawberries Strawberries Maple Syrup</t>
  </si>
  <si>
    <t>Banana Strawberries Strawberries Granola</t>
  </si>
  <si>
    <t>Banana Strawberries Mango Oats</t>
  </si>
  <si>
    <t>Banana Strawberries Mango Honey</t>
  </si>
  <si>
    <t>Banana Strawberries Mango Dates</t>
  </si>
  <si>
    <t>Banana Strawberries Mango Maple Syrup</t>
  </si>
  <si>
    <t>Banana Strawberries Mango Granola</t>
  </si>
  <si>
    <t>Banana Strawberries Pineapple Oats</t>
  </si>
  <si>
    <t>Banana Strawberries Pineapple Honey</t>
  </si>
  <si>
    <t>Banana Strawberries Pineapple Dates</t>
  </si>
  <si>
    <t>Banana Strawberries Pineapple Maple Syrup</t>
  </si>
  <si>
    <t>Banana Strawberries Pineapple Granola</t>
  </si>
  <si>
    <t>Banana Strawberries Peach Oats</t>
  </si>
  <si>
    <t>Banana Strawberries Peach Honey</t>
  </si>
  <si>
    <t>Banana Strawberries Peach Dates</t>
  </si>
  <si>
    <t>Banana Strawberries Peach Maple Syrup</t>
  </si>
  <si>
    <t>Banana Strawberries Peach Granola</t>
  </si>
  <si>
    <t>Banana Strawberries Apple Oats</t>
  </si>
  <si>
    <t>Banana Strawberries Apple Honey</t>
  </si>
  <si>
    <t>Banana Strawberries Apple Dates</t>
  </si>
  <si>
    <t>Banana Strawberries Apple Maple Syrup</t>
  </si>
  <si>
    <t>Banana Strawberries Apple Granola</t>
  </si>
  <si>
    <t>Banana Strawberries Dates Oats</t>
  </si>
  <si>
    <t>Banana Strawberries Dates Honey</t>
  </si>
  <si>
    <t>Banana Strawberries Dates Dates</t>
  </si>
  <si>
    <t>Banana Strawberries Dates Maple Syrup</t>
  </si>
  <si>
    <t>Banana Strawberries Dates Granola</t>
  </si>
  <si>
    <t>Banana Strawberries Honey Oats</t>
  </si>
  <si>
    <t>Banana Strawberries Honey Honey</t>
  </si>
  <si>
    <t>Banana Strawberries Honey Dates</t>
  </si>
  <si>
    <t>Banana Strawberries Honey Maple Syrup</t>
  </si>
  <si>
    <t>Banana Strawberries Honey Granola</t>
  </si>
  <si>
    <t>Banana Mango Blueberries Oats</t>
  </si>
  <si>
    <t>Banana Mango Blueberries Honey</t>
  </si>
  <si>
    <t>Banana Mango Blueberries Dates</t>
  </si>
  <si>
    <t>Banana Mango Blueberries Maple Syrup</t>
  </si>
  <si>
    <t>Banana Mango Blueberries Granola</t>
  </si>
  <si>
    <t>Banana Mango Strawberries Oats</t>
  </si>
  <si>
    <t>Banana Mango Strawberries Honey</t>
  </si>
  <si>
    <t>Banana Mango Strawberries Dates</t>
  </si>
  <si>
    <t>Banana Mango Strawberries Maple Syrup</t>
  </si>
  <si>
    <t>Banana Mango Strawberries Granola</t>
  </si>
  <si>
    <t>Banana Mango Mango Oats</t>
  </si>
  <si>
    <t>Banana Mango Mango Honey</t>
  </si>
  <si>
    <t>Banana Mango Mango Dates</t>
  </si>
  <si>
    <t>Banana Mango Mango Maple Syrup</t>
  </si>
  <si>
    <t>Banana Mango Mango Granola</t>
  </si>
  <si>
    <t>Banana Mango Pineapple Oats</t>
  </si>
  <si>
    <t>Banana Mango Pineapple Honey</t>
  </si>
  <si>
    <t>Banana Mango Pineapple Dates</t>
  </si>
  <si>
    <t>Banana Mango Pineapple Maple Syrup</t>
  </si>
  <si>
    <t>Banana Mango Pineapple Granola</t>
  </si>
  <si>
    <t>Banana Mango Peach Oats</t>
  </si>
  <si>
    <t>Banana Mango Peach Honey</t>
  </si>
  <si>
    <t>Banana Mango Peach Dates</t>
  </si>
  <si>
    <t>Banana Mango Peach Maple Syrup</t>
  </si>
  <si>
    <t>Banana Mango Peach Granola</t>
  </si>
  <si>
    <t>Banana Mango Apple Oats</t>
  </si>
  <si>
    <t>Banana Mango Apple Honey</t>
  </si>
  <si>
    <t>Banana Mango Apple Dates</t>
  </si>
  <si>
    <t>Banana Mango Apple Maple Syrup</t>
  </si>
  <si>
    <t>Banana Mango Apple Granola</t>
  </si>
  <si>
    <t>Banana Mango Dates Oats</t>
  </si>
  <si>
    <t>Banana Mango Dates Honey</t>
  </si>
  <si>
    <t>Banana Mango Dates Dates</t>
  </si>
  <si>
    <t>Banana Mango Dates Maple Syrup</t>
  </si>
  <si>
    <t>Banana Mango Dates Granola</t>
  </si>
  <si>
    <t>Banana Mango Honey Oats</t>
  </si>
  <si>
    <t>Banana Mango Honey Honey</t>
  </si>
  <si>
    <t>Banana Mango Honey Dates</t>
  </si>
  <si>
    <t>Banana Mango Honey Maple Syrup</t>
  </si>
  <si>
    <t>Banana Mango Honey Granola</t>
  </si>
  <si>
    <t>Banana Pineapple Blueberries Oats</t>
  </si>
  <si>
    <t>Banana Pineapple Blueberries Honey</t>
  </si>
  <si>
    <t>Banana Pineapple Blueberries Dates</t>
  </si>
  <si>
    <t>Banana Pineapple Blueberries Maple Syrup</t>
  </si>
  <si>
    <t>Banana Pineapple Blueberries Granola</t>
  </si>
  <si>
    <t>Banana Pineapple Strawberries Oats</t>
  </si>
  <si>
    <t>Banana Pineapple Strawberries Honey</t>
  </si>
  <si>
    <t>Banana Pineapple Strawberries Dates</t>
  </si>
  <si>
    <t>Banana Pineapple Strawberries Maple Syrup</t>
  </si>
  <si>
    <t>Banana Pineapple Strawberries Granola</t>
  </si>
  <si>
    <t>Banana Pineapple Mango Oats</t>
  </si>
  <si>
    <t>Banana Pineapple Mango Honey</t>
  </si>
  <si>
    <t>Banana Pineapple Mango Dates</t>
  </si>
  <si>
    <t>Banana Pineapple Mango Maple Syrup</t>
  </si>
  <si>
    <t>Banana Pineapple Mango Granola</t>
  </si>
  <si>
    <t>Banana Pineapple Pineapple Oats</t>
  </si>
  <si>
    <t>Banana Pineapple Pineapple Honey</t>
  </si>
  <si>
    <t>Banana Pineapple Pineapple Dates</t>
  </si>
  <si>
    <t>Banana Pineapple Pineapple Maple Syrup</t>
  </si>
  <si>
    <t>Banana Pineapple Pineapple Granola</t>
  </si>
  <si>
    <t>Banana Pineapple Peach Oats</t>
  </si>
  <si>
    <t>Banana Pineapple Peach Honey</t>
  </si>
  <si>
    <t>Banana Pineapple Peach Dates</t>
  </si>
  <si>
    <t>Banana Pineapple Peach Maple Syrup</t>
  </si>
  <si>
    <t>Banana Pineapple Peach Granola</t>
  </si>
  <si>
    <t>Banana Pineapple Apple Oats</t>
  </si>
  <si>
    <t>Banana Pineapple Apple Honey</t>
  </si>
  <si>
    <t>Banana Pineapple Apple Dates</t>
  </si>
  <si>
    <t>Banana Pineapple Apple Maple Syrup</t>
  </si>
  <si>
    <t>Banana Pineapple Apple Granola</t>
  </si>
  <si>
    <t>Banana Pineapple Dates Oats</t>
  </si>
  <si>
    <t>Banana Pineapple Dates Honey</t>
  </si>
  <si>
    <t>Banana Pineapple Dates Dates</t>
  </si>
  <si>
    <t>Banana Pineapple Dates Maple Syrup</t>
  </si>
  <si>
    <t>Banana Pineapple Dates Granola</t>
  </si>
  <si>
    <t>Banana Pineapple Honey Oats</t>
  </si>
  <si>
    <t>Banana Pineapple Honey Honey</t>
  </si>
  <si>
    <t>Banana Pineapple Honey Dates</t>
  </si>
  <si>
    <t>Banana Pineapple Honey Maple Syrup</t>
  </si>
  <si>
    <t>Banana Pineapple Honey Granola</t>
  </si>
  <si>
    <t>Mango Blueberries Blueberries Oats</t>
  </si>
  <si>
    <t>Mango Blueberries Blueberries Honey</t>
  </si>
  <si>
    <t>Mango Blueberries Blueberries Dates</t>
  </si>
  <si>
    <t>Mango Blueberries Blueberries Maple Syrup</t>
  </si>
  <si>
    <t>Mango Blueberries Blueberries Granola</t>
  </si>
  <si>
    <t>Mango Blueberries Blueberries Banana</t>
  </si>
  <si>
    <t>Mango Blueberries Strawberries Oats</t>
  </si>
  <si>
    <t>Mango Blueberries Strawberries Honey</t>
  </si>
  <si>
    <t>Mango Blueberries Strawberries Dates</t>
  </si>
  <si>
    <t>Mango Blueberries Strawberries Maple Syrup</t>
  </si>
  <si>
    <t>Mango Blueberries Strawberries Granola</t>
  </si>
  <si>
    <t>Mango Blueberries Strawberries Banana</t>
  </si>
  <si>
    <t>Mango Blueberries Pineapple Oats</t>
  </si>
  <si>
    <t>Mango Blueberries Pineapple Honey</t>
  </si>
  <si>
    <t>Mango Blueberries Pineapple Dates</t>
  </si>
  <si>
    <t>Mango Blueberries Pineapple Maple Syrup</t>
  </si>
  <si>
    <t>Mango Blueberries Pineapple Granola</t>
  </si>
  <si>
    <t>Mango Blueberries Pineapple Banana</t>
  </si>
  <si>
    <t>Mango Blueberries Peach Oats</t>
  </si>
  <si>
    <t>Mango Blueberries Peach Honey</t>
  </si>
  <si>
    <t>Mango Blueberries Peach Dates</t>
  </si>
  <si>
    <t>Mango Blueberries Peach Maple Syrup</t>
  </si>
  <si>
    <t>Mango Blueberries Peach Granola</t>
  </si>
  <si>
    <t>Mango Blueberries Peach Banana</t>
  </si>
  <si>
    <t>Mango Blueberries Apple Oats</t>
  </si>
  <si>
    <t>Mango Blueberries Apple Honey</t>
  </si>
  <si>
    <t>Mango Blueberries Apple Dates</t>
  </si>
  <si>
    <t>Mango Blueberries Apple Maple Syrup</t>
  </si>
  <si>
    <t>Mango Blueberries Apple Granola</t>
  </si>
  <si>
    <t>Mango Blueberries Apple Banana</t>
  </si>
  <si>
    <t>Mango Blueberries Dates Oats</t>
  </si>
  <si>
    <t>Mango Blueberries Dates Honey</t>
  </si>
  <si>
    <t>Mango Blueberries Dates Dates</t>
  </si>
  <si>
    <t>Mango Blueberries Dates Maple Syrup</t>
  </si>
  <si>
    <t>Mango Blueberries Dates Granola</t>
  </si>
  <si>
    <t>Mango Blueberries Dates Banana</t>
  </si>
  <si>
    <t>Mango Blueberries Honey Oats</t>
  </si>
  <si>
    <t>Mango Blueberries Honey Honey</t>
  </si>
  <si>
    <t>Mango Blueberries Honey Dates</t>
  </si>
  <si>
    <t>Mango Blueberries Honey Maple Syrup</t>
  </si>
  <si>
    <t>Mango Blueberries Honey Granola</t>
  </si>
  <si>
    <t>Mango Blueberries Honey Banana</t>
  </si>
  <si>
    <t>Mango Rasberries Blueberries Oats</t>
  </si>
  <si>
    <t>Mango Rasberries Blueberries Honey</t>
  </si>
  <si>
    <t>Mango Rasberries Blueberries Dates</t>
  </si>
  <si>
    <t>Mango Rasberries Blueberries Maple Syrup</t>
  </si>
  <si>
    <t>Mango Rasberries Blueberries Granola</t>
  </si>
  <si>
    <t>Mango Rasberries Blueberries Banana</t>
  </si>
  <si>
    <t>Mango Rasberries Strawberries Oats</t>
  </si>
  <si>
    <t>Mango Rasberries Strawberries Honey</t>
  </si>
  <si>
    <t>Mango Rasberries Strawberries Dates</t>
  </si>
  <si>
    <t>Mango Rasberries Strawberries Maple Syrup</t>
  </si>
  <si>
    <t>Mango Rasberries Strawberries Granola</t>
  </si>
  <si>
    <t>Mango Rasberries Strawberries Banana</t>
  </si>
  <si>
    <t>Mango Rasberries Pineapple Oats</t>
  </si>
  <si>
    <t>Mango Rasberries Pineapple Honey</t>
  </si>
  <si>
    <t>Mango Rasberries Pineapple Dates</t>
  </si>
  <si>
    <t>Mango Rasberries Pineapple Maple Syrup</t>
  </si>
  <si>
    <t>Mango Rasberries Pineapple Granola</t>
  </si>
  <si>
    <t>Mango Rasberries Pineapple Banana</t>
  </si>
  <si>
    <t>Mango Rasberries Peach Oats</t>
  </si>
  <si>
    <t>Mango Rasberries Peach Honey</t>
  </si>
  <si>
    <t>Mango Rasberries Peach Dates</t>
  </si>
  <si>
    <t>Mango Rasberries Peach Maple Syrup</t>
  </si>
  <si>
    <t>Mango Rasberries Peach Granola</t>
  </si>
  <si>
    <t>Mango Rasberries Peach Banana</t>
  </si>
  <si>
    <t>Mango Rasberries Apple Oats</t>
  </si>
  <si>
    <t>Mango Rasberries Apple Honey</t>
  </si>
  <si>
    <t>Mango Rasberries Apple Dates</t>
  </si>
  <si>
    <t>Mango Rasberries Apple Maple Syrup</t>
  </si>
  <si>
    <t>Mango Rasberries Apple Granola</t>
  </si>
  <si>
    <t>Mango Rasberries Apple Banana</t>
  </si>
  <si>
    <t>Mango Rasberries Dates Oats</t>
  </si>
  <si>
    <t>Mango Rasberries Dates Honey</t>
  </si>
  <si>
    <t>Mango Rasberries Dates Dates</t>
  </si>
  <si>
    <t>Mango Rasberries Dates Maple Syrup</t>
  </si>
  <si>
    <t>Mango Rasberries Dates Granola</t>
  </si>
  <si>
    <t>Mango Rasberries Dates Banana</t>
  </si>
  <si>
    <t>Mango Rasberries Honey Oats</t>
  </si>
  <si>
    <t>Mango Rasberries Honey Honey</t>
  </si>
  <si>
    <t>Mango Rasberries Honey Dates</t>
  </si>
  <si>
    <t>Mango Rasberries Honey Maple Syrup</t>
  </si>
  <si>
    <t>Mango Rasberries Honey Granola</t>
  </si>
  <si>
    <t>Mango Rasberries Honey Banana</t>
  </si>
  <si>
    <t>Mango Blackberries Blueberries Oats</t>
  </si>
  <si>
    <t>Mango Blackberries Blueberries Honey</t>
  </si>
  <si>
    <t>Mango Blackberries Blueberries Dates</t>
  </si>
  <si>
    <t>Mango Blackberries Blueberries Maple Syrup</t>
  </si>
  <si>
    <t>Mango Blackberries Blueberries Granola</t>
  </si>
  <si>
    <t>Mango Blackberries Blueberries Banana</t>
  </si>
  <si>
    <t>Mango Blackberries Strawberries Oats</t>
  </si>
  <si>
    <t>Mango Blackberries Strawberries Honey</t>
  </si>
  <si>
    <t>Mango Blackberries Strawberries Dates</t>
  </si>
  <si>
    <t>Mango Blackberries Strawberries Maple Syrup</t>
  </si>
  <si>
    <t>Mango Blackberries Strawberries Granola</t>
  </si>
  <si>
    <t>Mango Blackberries Strawberries Banana</t>
  </si>
  <si>
    <t>Mango Blackberries Pineapple Oats</t>
  </si>
  <si>
    <t>Mango Blackberries Pineapple Honey</t>
  </si>
  <si>
    <t>Mango Blackberries Pineapple Dates</t>
  </si>
  <si>
    <t>Mango Blackberries Pineapple Maple Syrup</t>
  </si>
  <si>
    <t>Mango Blackberries Pineapple Granola</t>
  </si>
  <si>
    <t>Mango Blackberries Pineapple Banana</t>
  </si>
  <si>
    <t>Mango Blackberries Peach Oats</t>
  </si>
  <si>
    <t>Mango Blackberries Peach Honey</t>
  </si>
  <si>
    <t>Mango Blackberries Peach Dates</t>
  </si>
  <si>
    <t>Mango Blackberries Peach Maple Syrup</t>
  </si>
  <si>
    <t>Mango Blackberries Peach Granola</t>
  </si>
  <si>
    <t>Mango Blackberries Peach Banana</t>
  </si>
  <si>
    <t>Mango Blackberries Apple Oats</t>
  </si>
  <si>
    <t>Mango Blackberries Apple Honey</t>
  </si>
  <si>
    <t>Mango Blackberries Apple Dates</t>
  </si>
  <si>
    <t>Mango Blackberries Apple Maple Syrup</t>
  </si>
  <si>
    <t>Mango Blackberries Apple Granola</t>
  </si>
  <si>
    <t>Mango Blackberries Apple Banana</t>
  </si>
  <si>
    <t>Mango Blackberries Dates Oats</t>
  </si>
  <si>
    <t>Mango Blackberries Dates Honey</t>
  </si>
  <si>
    <t>Mango Blackberries Dates Dates</t>
  </si>
  <si>
    <t>Mango Blackberries Dates Maple Syrup</t>
  </si>
  <si>
    <t>Mango Blackberries Dates Granola</t>
  </si>
  <si>
    <t>Mango Blackberries Dates Banana</t>
  </si>
  <si>
    <t>Mango Blackberries Honey Oats</t>
  </si>
  <si>
    <t>Mango Blackberries Honey Honey</t>
  </si>
  <si>
    <t>Mango Blackberries Honey Dates</t>
  </si>
  <si>
    <t>Mango Blackberries Honey Maple Syrup</t>
  </si>
  <si>
    <t>Mango Blackberries Honey Granola</t>
  </si>
  <si>
    <t>Mango Blackberries Honey Banana</t>
  </si>
  <si>
    <t>Mango Cherries Blueberries Oats</t>
  </si>
  <si>
    <t>Mango Cherries Blueberries Honey</t>
  </si>
  <si>
    <t>Mango Cherries Blueberries Dates</t>
  </si>
  <si>
    <t>Mango Cherries Blueberries Maple Syrup</t>
  </si>
  <si>
    <t>Mango Cherries Blueberries Granola</t>
  </si>
  <si>
    <t>Mango Cherries Blueberries Banana</t>
  </si>
  <si>
    <t>Mango Cherries Strawberries Oats</t>
  </si>
  <si>
    <t>Mango Cherries Strawberries Honey</t>
  </si>
  <si>
    <t>Mango Cherries Strawberries Dates</t>
  </si>
  <si>
    <t>Mango Cherries Strawberries Maple Syrup</t>
  </si>
  <si>
    <t>Mango Cherries Strawberries Granola</t>
  </si>
  <si>
    <t>Mango Cherries Strawberries Banana</t>
  </si>
  <si>
    <t>Mango Cherries Pineapple Oats</t>
  </si>
  <si>
    <t>Mango Cherries Pineapple Honey</t>
  </si>
  <si>
    <t>Mango Cherries Pineapple Dates</t>
  </si>
  <si>
    <t>Mango Cherries Pineapple Maple Syrup</t>
  </si>
  <si>
    <t>Mango Cherries Pineapple Granola</t>
  </si>
  <si>
    <t>Mango Cherries Pineapple Banana</t>
  </si>
  <si>
    <t>Mango Cherries Peach Oats</t>
  </si>
  <si>
    <t>Mango Cherries Peach Honey</t>
  </si>
  <si>
    <t>Mango Cherries Peach Dates</t>
  </si>
  <si>
    <t>Mango Cherries Peach Maple Syrup</t>
  </si>
  <si>
    <t>Mango Cherries Peach Granola</t>
  </si>
  <si>
    <t>Mango Cherries Peach Banana</t>
  </si>
  <si>
    <t>Mango Cherries Apple Oats</t>
  </si>
  <si>
    <t>Mango Cherries Apple Honey</t>
  </si>
  <si>
    <t>Mango Cherries Apple Dates</t>
  </si>
  <si>
    <t>Mango Cherries Apple Maple Syrup</t>
  </si>
  <si>
    <t>Mango Cherries Apple Granola</t>
  </si>
  <si>
    <t>Mango Cherries Apple Banana</t>
  </si>
  <si>
    <t>Mango Cherries Dates Oats</t>
  </si>
  <si>
    <t>Mango Cherries Dates Honey</t>
  </si>
  <si>
    <t>Mango Cherries Dates Dates</t>
  </si>
  <si>
    <t>Mango Cherries Dates Maple Syrup</t>
  </si>
  <si>
    <t>Mango Cherries Dates Granola</t>
  </si>
  <si>
    <t>Mango Cherries Dates Banana</t>
  </si>
  <si>
    <t>Mango Cherries Honey Oats</t>
  </si>
  <si>
    <t>Mango Cherries Honey Honey</t>
  </si>
  <si>
    <t>Mango Cherries Honey Dates</t>
  </si>
  <si>
    <t>Mango Cherries Honey Maple Syrup</t>
  </si>
  <si>
    <t>Mango Cherries Honey Granola</t>
  </si>
  <si>
    <t>Mango Cherries Honey Banana</t>
  </si>
  <si>
    <t>Mango Strawberries Blueberries Oats</t>
  </si>
  <si>
    <t>Mango Strawberries Blueberries Honey</t>
  </si>
  <si>
    <t>Mango Strawberries Blueberries Dates</t>
  </si>
  <si>
    <t>Mango Strawberries Blueberries Maple Syrup</t>
  </si>
  <si>
    <t>Mango Strawberries Blueberries Granola</t>
  </si>
  <si>
    <t>Mango Strawberries Blueberries Banana</t>
  </si>
  <si>
    <t>Mango Strawberries Strawberries Oats</t>
  </si>
  <si>
    <t>Mango Strawberries Strawberries Honey</t>
  </si>
  <si>
    <t>Mango Strawberries Strawberries Dates</t>
  </si>
  <si>
    <t>Mango Strawberries Strawberries Maple Syrup</t>
  </si>
  <si>
    <t>Mango Strawberries Strawberries Granola</t>
  </si>
  <si>
    <t>Mango Strawberries Strawberries Banana</t>
  </si>
  <si>
    <t>Mango Strawberries Pineapple Oats</t>
  </si>
  <si>
    <t>Mango Strawberries Pineapple Honey</t>
  </si>
  <si>
    <t>Mango Strawberries Pineapple Dates</t>
  </si>
  <si>
    <t>Mango Strawberries Pineapple Maple Syrup</t>
  </si>
  <si>
    <t>Mango Strawberries Pineapple Granola</t>
  </si>
  <si>
    <t>Mango Strawberries Pineapple Banana</t>
  </si>
  <si>
    <t>Mango Strawberries Peach Oats</t>
  </si>
  <si>
    <t>Mango Strawberries Peach Honey</t>
  </si>
  <si>
    <t>Mango Strawberries Peach Dates</t>
  </si>
  <si>
    <t>Mango Strawberries Peach Maple Syrup</t>
  </si>
  <si>
    <t>Mango Strawberries Peach Granola</t>
  </si>
  <si>
    <t>Mango Strawberries Peach Banana</t>
  </si>
  <si>
    <t>Mango Strawberries Apple Oats</t>
  </si>
  <si>
    <t>Mango Strawberries Apple Honey</t>
  </si>
  <si>
    <t>Mango Strawberries Apple Dates</t>
  </si>
  <si>
    <t>Mango Strawberries Apple Maple Syrup</t>
  </si>
  <si>
    <t>Mango Strawberries Apple Granola</t>
  </si>
  <si>
    <t>Mango Strawberries Apple Banana</t>
  </si>
  <si>
    <t>Mango Strawberries Dates Oats</t>
  </si>
  <si>
    <t>Mango Strawberries Dates Honey</t>
  </si>
  <si>
    <t>Mango Strawberries Dates Dates</t>
  </si>
  <si>
    <t>Mango Strawberries Dates Maple Syrup</t>
  </si>
  <si>
    <t>Mango Strawberries Dates Granola</t>
  </si>
  <si>
    <t>Mango Strawberries Dates Banana</t>
  </si>
  <si>
    <t>Mango Strawberries Honey Oats</t>
  </si>
  <si>
    <t>Mango Strawberries Honey Honey</t>
  </si>
  <si>
    <t>Mango Strawberries Honey Dates</t>
  </si>
  <si>
    <t>Mango Strawberries Honey Maple Syrup</t>
  </si>
  <si>
    <t>Mango Strawberries Honey Granola</t>
  </si>
  <si>
    <t>Mango Strawberries Honey Banana</t>
  </si>
  <si>
    <t>Mango Pineapple Blueberries Oats</t>
  </si>
  <si>
    <t>Mango Pineapple Blueberries Honey</t>
  </si>
  <si>
    <t>Mango Pineapple Blueberries Dates</t>
  </si>
  <si>
    <t>Mango Pineapple Blueberries Maple Syrup</t>
  </si>
  <si>
    <t>Mango Pineapple Blueberries Granola</t>
  </si>
  <si>
    <t>Mango Pineapple Blueberries Banana</t>
  </si>
  <si>
    <t>Mango Pineapple Strawberries Oats</t>
  </si>
  <si>
    <t>Mango Pineapple Strawberries Honey</t>
  </si>
  <si>
    <t>Mango Pineapple Strawberries Dates</t>
  </si>
  <si>
    <t>Mango Pineapple Strawberries Maple Syrup</t>
  </si>
  <si>
    <t>Mango Pineapple Strawberries Granola</t>
  </si>
  <si>
    <t>Mango Pineapple Strawberries Banana</t>
  </si>
  <si>
    <t>Mango Pineapple Pineapple Oats</t>
  </si>
  <si>
    <t>Mango Pineapple Pineapple Honey</t>
  </si>
  <si>
    <t>Mango Pineapple Pineapple Dates</t>
  </si>
  <si>
    <t>Mango Pineapple Pineapple Maple Syrup</t>
  </si>
  <si>
    <t>Mango Pineapple Pineapple Granola</t>
  </si>
  <si>
    <t>Mango Pineapple Pineapple Banana</t>
  </si>
  <si>
    <t>Mango Pineapple Peach Oats</t>
  </si>
  <si>
    <t>Mango Pineapple Peach Honey</t>
  </si>
  <si>
    <t>Mango Pineapple Peach Dates</t>
  </si>
  <si>
    <t>Mango Pineapple Peach Maple Syrup</t>
  </si>
  <si>
    <t>Mango Pineapple Peach Granola</t>
  </si>
  <si>
    <t>Mango Pineapple Peach Banana</t>
  </si>
  <si>
    <t>Mango Pineapple Apple Oats</t>
  </si>
  <si>
    <t>Mango Pineapple Apple Honey</t>
  </si>
  <si>
    <t>Mango Pineapple Apple Dates</t>
  </si>
  <si>
    <t>Mango Pineapple Apple Maple Syrup</t>
  </si>
  <si>
    <t>Mango Pineapple Apple Granola</t>
  </si>
  <si>
    <t>Mango Pineapple Apple Banana</t>
  </si>
  <si>
    <t>Mango Pineapple Dates Oats</t>
  </si>
  <si>
    <t>Mango Pineapple Dates Honey</t>
  </si>
  <si>
    <t>Mango Pineapple Dates Dates</t>
  </si>
  <si>
    <t>Mango Pineapple Dates Maple Syrup</t>
  </si>
  <si>
    <t>Mango Pineapple Dates Granola</t>
  </si>
  <si>
    <t>Mango Pineapple Dates Banana</t>
  </si>
  <si>
    <t>Mango Pineapple Honey Oats</t>
  </si>
  <si>
    <t>Mango Pineapple Honey Honey</t>
  </si>
  <si>
    <t>Mango Pineapple Honey Dates</t>
  </si>
  <si>
    <t>Mango Pineapple Honey Maple Syrup</t>
  </si>
  <si>
    <t>Mango Pineapple Honey Granola</t>
  </si>
  <si>
    <t>Mango Pineapple Honey Banana</t>
  </si>
  <si>
    <t>Pineapple Blueberries Blueberries Oats</t>
  </si>
  <si>
    <t>Pineapple Blueberries Blueberries Honey</t>
  </si>
  <si>
    <t>Pineapple Blueberries Blueberries Dates</t>
  </si>
  <si>
    <t>Pineapple Blueberries Blueberries Maple Syrup</t>
  </si>
  <si>
    <t>Pineapple Blueberries Blueberries Granola</t>
  </si>
  <si>
    <t>Pineapple Blueberries Blueberries Banana</t>
  </si>
  <si>
    <t>Pineapple Blueberries Strawberries Oats</t>
  </si>
  <si>
    <t>Pineapple Blueberries Strawberries Honey</t>
  </si>
  <si>
    <t>Pineapple Blueberries Strawberries Dates</t>
  </si>
  <si>
    <t>Pineapple Blueberries Strawberries Maple Syrup</t>
  </si>
  <si>
    <t>Pineapple Blueberries Strawberries Granola</t>
  </si>
  <si>
    <t>Pineapple Blueberries Strawberries Banana</t>
  </si>
  <si>
    <t>Pineapple Blueberries Peach Oats</t>
  </si>
  <si>
    <t>Pineapple Blueberries Peach Honey</t>
  </si>
  <si>
    <t>Pineapple Blueberries Peach Dates</t>
  </si>
  <si>
    <t>Pineapple Blueberries Peach Maple Syrup</t>
  </si>
  <si>
    <t>Pineapple Blueberries Peach Granola</t>
  </si>
  <si>
    <t>Pineapple Blueberries Peach Banana</t>
  </si>
  <si>
    <t>Pineapple Blueberries Apple Oats</t>
  </si>
  <si>
    <t>Pineapple Blueberries Apple Honey</t>
  </si>
  <si>
    <t>Pineapple Blueberries Apple Dates</t>
  </si>
  <si>
    <t>Pineapple Blueberries Apple Maple Syrup</t>
  </si>
  <si>
    <t>Pineapple Blueberries Apple Granola</t>
  </si>
  <si>
    <t>Pineapple Blueberries Apple Banana</t>
  </si>
  <si>
    <t>Pineapple Blueberries Dates Oats</t>
  </si>
  <si>
    <t>Pineapple Blueberries Dates Honey</t>
  </si>
  <si>
    <t>Pineapple Blueberries Dates Dates</t>
  </si>
  <si>
    <t>Pineapple Blueberries Dates Maple Syrup</t>
  </si>
  <si>
    <t>Pineapple Blueberries Dates Granola</t>
  </si>
  <si>
    <t>Pineapple Blueberries Dates Banana</t>
  </si>
  <si>
    <t>Pineapple Blueberries Honey Oats</t>
  </si>
  <si>
    <t>Pineapple Blueberries Honey Honey</t>
  </si>
  <si>
    <t>Pineapple Blueberries Honey Dates</t>
  </si>
  <si>
    <t>Pineapple Blueberries Honey Maple Syrup</t>
  </si>
  <si>
    <t>Pineapple Blueberries Honey Granola</t>
  </si>
  <si>
    <t>Pineapple Blueberries Honey Banana</t>
  </si>
  <si>
    <t>Pineapple Blueberries Mango Oats</t>
  </si>
  <si>
    <t>Pineapple Blueberries Mango Honey</t>
  </si>
  <si>
    <t>Pineapple Blueberries Mango Dates</t>
  </si>
  <si>
    <t>Pineapple Blueberries Mango Maple Syrup</t>
  </si>
  <si>
    <t>Pineapple Blueberries Mango Granola</t>
  </si>
  <si>
    <t>Pineapple Blueberries Mango Banana</t>
  </si>
  <si>
    <t>Pineapple Rasberries Blueberries Oats</t>
  </si>
  <si>
    <t>Pineapple Rasberries Blueberries Honey</t>
  </si>
  <si>
    <t>Pineapple Rasberries Blueberries Dates</t>
  </si>
  <si>
    <t>Pineapple Rasberries Blueberries Maple Syrup</t>
  </si>
  <si>
    <t>Pineapple Rasberries Blueberries Granola</t>
  </si>
  <si>
    <t>Pineapple Rasberries Blueberries Banana</t>
  </si>
  <si>
    <t>Pineapple Rasberries Strawberries Oats</t>
  </si>
  <si>
    <t>Pineapple Rasberries Strawberries Honey</t>
  </si>
  <si>
    <t>Pineapple Rasberries Strawberries Dates</t>
  </si>
  <si>
    <t>Pineapple Rasberries Strawberries Maple Syrup</t>
  </si>
  <si>
    <t>Pineapple Rasberries Strawberries Granola</t>
  </si>
  <si>
    <t>Pineapple Rasberries Strawberries Banana</t>
  </si>
  <si>
    <t>Pineapple Rasberries Peach Oats</t>
  </si>
  <si>
    <t>Pineapple Rasberries Peach Honey</t>
  </si>
  <si>
    <t>Pineapple Rasberries Peach Dates</t>
  </si>
  <si>
    <t>Pineapple Rasberries Peach Maple Syrup</t>
  </si>
  <si>
    <t>Pineapple Rasberries Peach Granola</t>
  </si>
  <si>
    <t>Pineapple Rasberries Peach Banana</t>
  </si>
  <si>
    <t>Pineapple Rasberries Apple Oats</t>
  </si>
  <si>
    <t>Pineapple Rasberries Apple Honey</t>
  </si>
  <si>
    <t>Pineapple Rasberries Apple Dates</t>
  </si>
  <si>
    <t>Pineapple Rasberries Apple Maple Syrup</t>
  </si>
  <si>
    <t>Pineapple Rasberries Apple Granola</t>
  </si>
  <si>
    <t>Pineapple Rasberries Apple Banana</t>
  </si>
  <si>
    <t>Pineapple Rasberries Dates Oats</t>
  </si>
  <si>
    <t>Pineapple Rasberries Dates Honey</t>
  </si>
  <si>
    <t>Pineapple Rasberries Dates Dates</t>
  </si>
  <si>
    <t>Pineapple Rasberries Dates Maple Syrup</t>
  </si>
  <si>
    <t>Pineapple Rasberries Dates Granola</t>
  </si>
  <si>
    <t>Pineapple Rasberries Dates Banana</t>
  </si>
  <si>
    <t>Pineapple Rasberries Honey Oats</t>
  </si>
  <si>
    <t>Pineapple Rasberries Honey Honey</t>
  </si>
  <si>
    <t>Pineapple Rasberries Honey Dates</t>
  </si>
  <si>
    <t>Pineapple Rasberries Honey Maple Syrup</t>
  </si>
  <si>
    <t>Pineapple Rasberries Honey Granola</t>
  </si>
  <si>
    <t>Pineapple Rasberries Honey Banana</t>
  </si>
  <si>
    <t>Pineapple Rasberries Mango Oats</t>
  </si>
  <si>
    <t>Pineapple Rasberries Mango Honey</t>
  </si>
  <si>
    <t>Pineapple Rasberries Mango Dates</t>
  </si>
  <si>
    <t>Pineapple Rasberries Mango Maple Syrup</t>
  </si>
  <si>
    <t>Pineapple Rasberries Mango Granola</t>
  </si>
  <si>
    <t>Pineapple Rasberries Mango Banana</t>
  </si>
  <si>
    <t>Pineapple Blackberries Blueberries Oats</t>
  </si>
  <si>
    <t>Pineapple Blackberries Blueberries Honey</t>
  </si>
  <si>
    <t>Pineapple Blackberries Blueberries Dates</t>
  </si>
  <si>
    <t>Pineapple Blackberries Blueberries Maple Syrup</t>
  </si>
  <si>
    <t>Pineapple Blackberries Blueberries Granola</t>
  </si>
  <si>
    <t>Pineapple Blackberries Blueberries Banana</t>
  </si>
  <si>
    <t>Pineapple Blackberries Strawberries Oats</t>
  </si>
  <si>
    <t>Pineapple Blackberries Strawberries Honey</t>
  </si>
  <si>
    <t>Pineapple Blackberries Strawberries Dates</t>
  </si>
  <si>
    <t>Pineapple Blackberries Strawberries Maple Syrup</t>
  </si>
  <si>
    <t>Pineapple Blackberries Strawberries Granola</t>
  </si>
  <si>
    <t>Pineapple Blackberries Strawberries Banana</t>
  </si>
  <si>
    <t>Pineapple Blackberries Peach Oats</t>
  </si>
  <si>
    <t>Pineapple Blackberries Peach Honey</t>
  </si>
  <si>
    <t>Pineapple Blackberries Peach Dates</t>
  </si>
  <si>
    <t>Pineapple Blackberries Peach Maple Syrup</t>
  </si>
  <si>
    <t>Pineapple Blackberries Peach Granola</t>
  </si>
  <si>
    <t>Pineapple Blackberries Peach Banana</t>
  </si>
  <si>
    <t>Pineapple Blackberries Apple Oats</t>
  </si>
  <si>
    <t>Pineapple Blackberries Apple Honey</t>
  </si>
  <si>
    <t>Pineapple Blackberries Apple Dates</t>
  </si>
  <si>
    <t>Pineapple Blackberries Apple Maple Syrup</t>
  </si>
  <si>
    <t>Pineapple Blackberries Apple Granola</t>
  </si>
  <si>
    <t>Pineapple Blackberries Apple Banana</t>
  </si>
  <si>
    <t>Pineapple Blackberries Dates Oats</t>
  </si>
  <si>
    <t>Pineapple Blackberries Dates Honey</t>
  </si>
  <si>
    <t>Pineapple Blackberries Dates Dates</t>
  </si>
  <si>
    <t>Pineapple Blackberries Dates Maple Syrup</t>
  </si>
  <si>
    <t>Pineapple Blackberries Dates Granola</t>
  </si>
  <si>
    <t>Pineapple Blackberries Dates Banana</t>
  </si>
  <si>
    <t>Pineapple Blackberries Honey Oats</t>
  </si>
  <si>
    <t>Pineapple Blackberries Honey Honey</t>
  </si>
  <si>
    <t>Pineapple Blackberries Honey Dates</t>
  </si>
  <si>
    <t>Pineapple Blackberries Honey Maple Syrup</t>
  </si>
  <si>
    <t>Pineapple Blackberries Honey Granola</t>
  </si>
  <si>
    <t>Pineapple Blackberries Honey Banana</t>
  </si>
  <si>
    <t>Pineapple Blackberries Mango Oats</t>
  </si>
  <si>
    <t>Pineapple Blackberries Mango Honey</t>
  </si>
  <si>
    <t>Pineapple Blackberries Mango Dates</t>
  </si>
  <si>
    <t>Pineapple Blackberries Mango Maple Syrup</t>
  </si>
  <si>
    <t>Pineapple Blackberries Mango Granola</t>
  </si>
  <si>
    <t>Pineapple Blackberries Mango Banana</t>
  </si>
  <si>
    <t>Pineapple Cherries Blueberries Oats</t>
  </si>
  <si>
    <t>Pineapple Cherries Blueberries Honey</t>
  </si>
  <si>
    <t>Pineapple Cherries Blueberries Dates</t>
  </si>
  <si>
    <t>Pineapple Cherries Blueberries Maple Syrup</t>
  </si>
  <si>
    <t>Pineapple Cherries Blueberries Granola</t>
  </si>
  <si>
    <t>Pineapple Cherries Blueberries Banana</t>
  </si>
  <si>
    <t>Pineapple Cherries Strawberries Oats</t>
  </si>
  <si>
    <t>Pineapple Cherries Strawberries Honey</t>
  </si>
  <si>
    <t>Pineapple Cherries Strawberries Dates</t>
  </si>
  <si>
    <t>Pineapple Cherries Strawberries Maple Syrup</t>
  </si>
  <si>
    <t>Pineapple Cherries Strawberries Granola</t>
  </si>
  <si>
    <t>Pineapple Cherries Strawberries Banana</t>
  </si>
  <si>
    <t>Pineapple Cherries Peach Oats</t>
  </si>
  <si>
    <t>Pineapple Cherries Peach Honey</t>
  </si>
  <si>
    <t>Pineapple Cherries Peach Dates</t>
  </si>
  <si>
    <t>Pineapple Cherries Peach Maple Syrup</t>
  </si>
  <si>
    <t>Pineapple Cherries Peach Granola</t>
  </si>
  <si>
    <t>Pineapple Cherries Peach Banana</t>
  </si>
  <si>
    <t>Pineapple Cherries Apple Oats</t>
  </si>
  <si>
    <t>Pineapple Cherries Apple Honey</t>
  </si>
  <si>
    <t>Pineapple Cherries Apple Dates</t>
  </si>
  <si>
    <t>Pineapple Cherries Apple Maple Syrup</t>
  </si>
  <si>
    <t>Pineapple Cherries Apple Granola</t>
  </si>
  <si>
    <t>Pineapple Cherries Apple Banana</t>
  </si>
  <si>
    <t>Pineapple Cherries Dates Oats</t>
  </si>
  <si>
    <t>Pineapple Cherries Dates Honey</t>
  </si>
  <si>
    <t>Pineapple Cherries Dates Dates</t>
  </si>
  <si>
    <t>Pineapple Cherries Dates Maple Syrup</t>
  </si>
  <si>
    <t>Pineapple Cherries Dates Granola</t>
  </si>
  <si>
    <t>Pineapple Cherries Dates Banana</t>
  </si>
  <si>
    <t>Pineapple Cherries Honey Oats</t>
  </si>
  <si>
    <t>Pineapple Cherries Honey Honey</t>
  </si>
  <si>
    <t>Pineapple Cherries Honey Dates</t>
  </si>
  <si>
    <t>Pineapple Cherries Honey Maple Syrup</t>
  </si>
  <si>
    <t>Pineapple Cherries Honey Granola</t>
  </si>
  <si>
    <t>Pineapple Cherries Honey Banana</t>
  </si>
  <si>
    <t>Pineapple Cherries Mango Oats</t>
  </si>
  <si>
    <t>Pineapple Cherries Mango Honey</t>
  </si>
  <si>
    <t>Pineapple Cherries Mango Dates</t>
  </si>
  <si>
    <t>Pineapple Cherries Mango Maple Syrup</t>
  </si>
  <si>
    <t>Pineapple Cherries Mango Granola</t>
  </si>
  <si>
    <t>Pineapple Cherries Mango Banana</t>
  </si>
  <si>
    <t>Pineapple Strawberries Blueberries Oats</t>
  </si>
  <si>
    <t>Pineapple Strawberries Blueberries Honey</t>
  </si>
  <si>
    <t>Pineapple Strawberries Blueberries Dates</t>
  </si>
  <si>
    <t>Pineapple Strawberries Blueberries Maple Syrup</t>
  </si>
  <si>
    <t>Pineapple Strawberries Blueberries Granola</t>
  </si>
  <si>
    <t>Pineapple Strawberries Blueberries Banana</t>
  </si>
  <si>
    <t>Pineapple Strawberries Strawberries Oats</t>
  </si>
  <si>
    <t>Pineapple Strawberries Strawberries Honey</t>
  </si>
  <si>
    <t>Pineapple Strawberries Strawberries Dates</t>
  </si>
  <si>
    <t>Pineapple Strawberries Strawberries Maple Syrup</t>
  </si>
  <si>
    <t>Pineapple Strawberries Strawberries Granola</t>
  </si>
  <si>
    <t>Pineapple Strawberries Strawberries Banana</t>
  </si>
  <si>
    <t>Pineapple Strawberries Peach Oats</t>
  </si>
  <si>
    <t>Pineapple Strawberries Peach Honey</t>
  </si>
  <si>
    <t>Pineapple Strawberries Peach Dates</t>
  </si>
  <si>
    <t>Pineapple Strawberries Peach Maple Syrup</t>
  </si>
  <si>
    <t>Pineapple Strawberries Peach Granola</t>
  </si>
  <si>
    <t>Pineapple Strawberries Peach Banana</t>
  </si>
  <si>
    <t>Pineapple Strawberries Apple Oats</t>
  </si>
  <si>
    <t>Pineapple Strawberries Apple Honey</t>
  </si>
  <si>
    <t>Pineapple Strawberries Apple Dates</t>
  </si>
  <si>
    <t>Pineapple Strawberries Apple Maple Syrup</t>
  </si>
  <si>
    <t>Pineapple Strawberries Apple Granola</t>
  </si>
  <si>
    <t>Pineapple Strawberries Apple Banana</t>
  </si>
  <si>
    <t>Pineapple Strawberries Dates Oats</t>
  </si>
  <si>
    <t>Pineapple Strawberries Dates Honey</t>
  </si>
  <si>
    <t>Pineapple Strawberries Dates Dates</t>
  </si>
  <si>
    <t>Pineapple Strawberries Dates Maple Syrup</t>
  </si>
  <si>
    <t>Pineapple Strawberries Dates Granola</t>
  </si>
  <si>
    <t>Pineapple Strawberries Dates Banana</t>
  </si>
  <si>
    <t>Pineapple Strawberries Honey Oats</t>
  </si>
  <si>
    <t>Pineapple Strawberries Honey Honey</t>
  </si>
  <si>
    <t>Pineapple Strawberries Honey Dates</t>
  </si>
  <si>
    <t>Pineapple Strawberries Honey Maple Syrup</t>
  </si>
  <si>
    <t>Pineapple Strawberries Honey Granola</t>
  </si>
  <si>
    <t>Pineapple Strawberries Honey Banana</t>
  </si>
  <si>
    <t>Pineapple Strawberries Mango Oats</t>
  </si>
  <si>
    <t>Pineapple Strawberries Mango Honey</t>
  </si>
  <si>
    <t>Pineapple Strawberries Mango Dates</t>
  </si>
  <si>
    <t>Pineapple Strawberries Mango Maple Syrup</t>
  </si>
  <si>
    <t>Pineapple Strawberries Mango Granola</t>
  </si>
  <si>
    <t>Pineapple Strawberries Mango Banana</t>
  </si>
  <si>
    <t>Pineapple Mango Blueberries Oats</t>
  </si>
  <si>
    <t>Pineapple Mango Blueberries Honey</t>
  </si>
  <si>
    <t>Pineapple Mango Blueberries Dates</t>
  </si>
  <si>
    <t>Pineapple Mango Blueberries Maple Syrup</t>
  </si>
  <si>
    <t>Pineapple Mango Blueberries Granola</t>
  </si>
  <si>
    <t>Pineapple Mango Blueberries Banana</t>
  </si>
  <si>
    <t>Pineapple Mango Strawberries Oats</t>
  </si>
  <si>
    <t>Pineapple Mango Strawberries Honey</t>
  </si>
  <si>
    <t>Pineapple Mango Strawberries Dates</t>
  </si>
  <si>
    <t>Pineapple Mango Strawberries Maple Syrup</t>
  </si>
  <si>
    <t>Pineapple Mango Strawberries Granola</t>
  </si>
  <si>
    <t>Pineapple Mango Strawberries Banana</t>
  </si>
  <si>
    <t>Pineapple Mango Peach Oats</t>
  </si>
  <si>
    <t>Pineapple Mango Peach Honey</t>
  </si>
  <si>
    <t>Pineapple Mango Peach Dates</t>
  </si>
  <si>
    <t>Pineapple Mango Peach Maple Syrup</t>
  </si>
  <si>
    <t>Pineapple Mango Peach Granola</t>
  </si>
  <si>
    <t>Pineapple Mango Peach Banana</t>
  </si>
  <si>
    <t>Pineapple Mango Apple Oats</t>
  </si>
  <si>
    <t>Pineapple Mango Apple Honey</t>
  </si>
  <si>
    <t>Pineapple Mango Apple Dates</t>
  </si>
  <si>
    <t>Pineapple Mango Apple Maple Syrup</t>
  </si>
  <si>
    <t>Pineapple Mango Apple Granola</t>
  </si>
  <si>
    <t>Pineapple Mango Apple Banana</t>
  </si>
  <si>
    <t>Pineapple Mango Dates Oats</t>
  </si>
  <si>
    <t>Pineapple Mango Dates Honey</t>
  </si>
  <si>
    <t>Pineapple Mango Dates Dates</t>
  </si>
  <si>
    <t>Pineapple Mango Dates Maple Syrup</t>
  </si>
  <si>
    <t>Pineapple Mango Dates Granola</t>
  </si>
  <si>
    <t>Pineapple Mango Dates Banana</t>
  </si>
  <si>
    <t>Pineapple Mango Honey Oats</t>
  </si>
  <si>
    <t>Pineapple Mango Honey Honey</t>
  </si>
  <si>
    <t>Pineapple Mango Honey Dates</t>
  </si>
  <si>
    <t>Pineapple Mango Honey Maple Syrup</t>
  </si>
  <si>
    <t>Pineapple Mango Honey Granola</t>
  </si>
  <si>
    <t>Pineapple Mango Honey Banana</t>
  </si>
  <si>
    <t>Pineapple Mango Mango Oats</t>
  </si>
  <si>
    <t>Pineapple Mango Mango Honey</t>
  </si>
  <si>
    <t>Pineapple Mango Mango Dates</t>
  </si>
  <si>
    <t>Pineapple Mango Mango Maple Syrup</t>
  </si>
  <si>
    <t>Pineapple Mango Mango Granola</t>
  </si>
  <si>
    <t>Pineapple Mango Mango Banana</t>
  </si>
  <si>
    <t>Strawberries Blueberries Blueberries Oats</t>
  </si>
  <si>
    <t>Strawberries Blueberries Blueberries Honey</t>
  </si>
  <si>
    <t>Strawberries Blueberries Blueberries Dates</t>
  </si>
  <si>
    <t>Strawberries Blueberries Blueberries Maple Syrup</t>
  </si>
  <si>
    <t>Strawberries Blueberries Blueberries Granola</t>
  </si>
  <si>
    <t>Strawberries Blueberries Blueberries Banana</t>
  </si>
  <si>
    <t>Strawberries Blueberries Peach Oats</t>
  </si>
  <si>
    <t>Strawberries Blueberries Peach Honey</t>
  </si>
  <si>
    <t>Strawberries Blueberries Peach Dates</t>
  </si>
  <si>
    <t>Strawberries Blueberries Peach Maple Syrup</t>
  </si>
  <si>
    <t>Strawberries Blueberries Peach Granola</t>
  </si>
  <si>
    <t>Strawberries Blueberries Peach Banana</t>
  </si>
  <si>
    <t>Strawberries Blueberries Apple Oats</t>
  </si>
  <si>
    <t>Strawberries Blueberries Apple Honey</t>
  </si>
  <si>
    <t>Strawberries Blueberries Apple Dates</t>
  </si>
  <si>
    <t>Strawberries Blueberries Apple Maple Syrup</t>
  </si>
  <si>
    <t>Strawberries Blueberries Apple Granola</t>
  </si>
  <si>
    <t>Strawberries Blueberries Apple Banana</t>
  </si>
  <si>
    <t>Strawberries Blueberries Dates Oats</t>
  </si>
  <si>
    <t>Strawberries Blueberries Dates Honey</t>
  </si>
  <si>
    <t>Strawberries Blueberries Dates Dates</t>
  </si>
  <si>
    <t>Strawberries Blueberries Dates Maple Syrup</t>
  </si>
  <si>
    <t>Strawberries Blueberries Dates Granola</t>
  </si>
  <si>
    <t>Strawberries Blueberries Dates Banana</t>
  </si>
  <si>
    <t>Strawberries Blueberries Honey Oats</t>
  </si>
  <si>
    <t>Strawberries Blueberries Honey Honey</t>
  </si>
  <si>
    <t>Strawberries Blueberries Honey Dates</t>
  </si>
  <si>
    <t>Strawberries Blueberries Honey Maple Syrup</t>
  </si>
  <si>
    <t>Strawberries Blueberries Honey Granola</t>
  </si>
  <si>
    <t>Strawberries Blueberries Honey Banana</t>
  </si>
  <si>
    <t>Strawberries Blueberries Mango Oats</t>
  </si>
  <si>
    <t>Strawberries Blueberries Mango Honey</t>
  </si>
  <si>
    <t>Strawberries Blueberries Mango Dates</t>
  </si>
  <si>
    <t>Strawberries Blueberries Mango Maple Syrup</t>
  </si>
  <si>
    <t>Strawberries Blueberries Mango Granola</t>
  </si>
  <si>
    <t>Strawberries Blueberries Mango Banana</t>
  </si>
  <si>
    <t>Strawberries Blueberries Pineapple Oats</t>
  </si>
  <si>
    <t>Strawberries Blueberries Pineapple Honey</t>
  </si>
  <si>
    <t>Strawberries Blueberries Pineapple Dates</t>
  </si>
  <si>
    <t>Strawberries Blueberries Pineapple Maple Syrup</t>
  </si>
  <si>
    <t>Strawberries Blueberries Pineapple Granola</t>
  </si>
  <si>
    <t>Strawberries Blueberries Pineapple Banana</t>
  </si>
  <si>
    <t>Strawberries Rasberries Blueberries Oats</t>
  </si>
  <si>
    <t>Strawberries Rasberries Blueberries Honey</t>
  </si>
  <si>
    <t>Strawberries Rasberries Blueberries Dates</t>
  </si>
  <si>
    <t>Strawberries Rasberries Blueberries Maple Syrup</t>
  </si>
  <si>
    <t>Strawberries Rasberries Blueberries Granola</t>
  </si>
  <si>
    <t>Strawberries Rasberries Blueberries Banana</t>
  </si>
  <si>
    <t>Strawberries Rasberries Peach Oats</t>
  </si>
  <si>
    <t>Strawberries Rasberries Peach Honey</t>
  </si>
  <si>
    <t>Strawberries Rasberries Peach Dates</t>
  </si>
  <si>
    <t>Strawberries Rasberries Peach Maple Syrup</t>
  </si>
  <si>
    <t>Strawberries Rasberries Peach Granola</t>
  </si>
  <si>
    <t>Strawberries Rasberries Peach Banana</t>
  </si>
  <si>
    <t>Strawberries Rasberries Apple Oats</t>
  </si>
  <si>
    <t>Strawberries Rasberries Apple Honey</t>
  </si>
  <si>
    <t>Strawberries Rasberries Apple Dates</t>
  </si>
  <si>
    <t>Strawberries Rasberries Apple Maple Syrup</t>
  </si>
  <si>
    <t>Strawberries Rasberries Apple Granola</t>
  </si>
  <si>
    <t>Strawberries Rasberries Apple Banana</t>
  </si>
  <si>
    <t>Strawberries Rasberries Dates Oats</t>
  </si>
  <si>
    <t>Strawberries Rasberries Dates Honey</t>
  </si>
  <si>
    <t>Strawberries Rasberries Dates Dates</t>
  </si>
  <si>
    <t>Strawberries Rasberries Dates Maple Syrup</t>
  </si>
  <si>
    <t>Strawberries Rasberries Dates Granola</t>
  </si>
  <si>
    <t>Strawberries Rasberries Dates Banana</t>
  </si>
  <si>
    <t>Strawberries Rasberries Honey Oats</t>
  </si>
  <si>
    <t>Strawberries Rasberries Honey Honey</t>
  </si>
  <si>
    <t>Strawberries Rasberries Honey Dates</t>
  </si>
  <si>
    <t>Strawberries Rasberries Honey Maple Syrup</t>
  </si>
  <si>
    <t>Strawberries Rasberries Honey Granola</t>
  </si>
  <si>
    <t>Strawberries Rasberries Honey Banana</t>
  </si>
  <si>
    <t>Strawberries Rasberries Mango Oats</t>
  </si>
  <si>
    <t>Strawberries Rasberries Mango Honey</t>
  </si>
  <si>
    <t>Strawberries Rasberries Mango Dates</t>
  </si>
  <si>
    <t>Strawberries Rasberries Mango Maple Syrup</t>
  </si>
  <si>
    <t>Strawberries Rasberries Mango Granola</t>
  </si>
  <si>
    <t>Strawberries Rasberries Mango Banana</t>
  </si>
  <si>
    <t>Strawberries Rasberries Pineapple Oats</t>
  </si>
  <si>
    <t>Strawberries Rasberries Pineapple Honey</t>
  </si>
  <si>
    <t>Strawberries Rasberries Pineapple Dates</t>
  </si>
  <si>
    <t>Strawberries Rasberries Pineapple Maple Syrup</t>
  </si>
  <si>
    <t>Strawberries Rasberries Pineapple Granola</t>
  </si>
  <si>
    <t>Strawberries Rasberries Pineapple Banana</t>
  </si>
  <si>
    <t>Strawberries Blackberries Blueberries Oats</t>
  </si>
  <si>
    <t>Strawberries Blackberries Blueberries Honey</t>
  </si>
  <si>
    <t>Strawberries Blackberries Blueberries Dates</t>
  </si>
  <si>
    <t>Strawberries Blackberries Blueberries Maple Syrup</t>
  </si>
  <si>
    <t>Strawberries Blackberries Blueberries Granola</t>
  </si>
  <si>
    <t>Strawberries Blackberries Blueberries Banana</t>
  </si>
  <si>
    <t>Strawberries Blackberries Peach Oats</t>
  </si>
  <si>
    <t>Strawberries Blackberries Peach Honey</t>
  </si>
  <si>
    <t>Strawberries Blackberries Peach Dates</t>
  </si>
  <si>
    <t>Strawberries Blackberries Peach Maple Syrup</t>
  </si>
  <si>
    <t>Strawberries Blackberries Peach Granola</t>
  </si>
  <si>
    <t>Strawberries Blackberries Peach Banana</t>
  </si>
  <si>
    <t>Strawberries Blackberries Apple Oats</t>
  </si>
  <si>
    <t>Strawberries Blackberries Apple Honey</t>
  </si>
  <si>
    <t>Strawberries Blackberries Apple Dates</t>
  </si>
  <si>
    <t>Strawberries Blackberries Apple Maple Syrup</t>
  </si>
  <si>
    <t>Strawberries Blackberries Apple Granola</t>
  </si>
  <si>
    <t>Strawberries Blackberries Apple Banana</t>
  </si>
  <si>
    <t>Strawberries Blackberries Dates Oats</t>
  </si>
  <si>
    <t>Strawberries Blackberries Dates Honey</t>
  </si>
  <si>
    <t>Strawberries Blackberries Dates Dates</t>
  </si>
  <si>
    <t>Strawberries Blackberries Dates Maple Syrup</t>
  </si>
  <si>
    <t>Strawberries Blackberries Dates Granola</t>
  </si>
  <si>
    <t>Strawberries Blackberries Dates Banana</t>
  </si>
  <si>
    <t>Strawberries Blackberries Honey Oats</t>
  </si>
  <si>
    <t>Strawberries Blackberries Honey Honey</t>
  </si>
  <si>
    <t>Strawberries Blackberries Honey Dates</t>
  </si>
  <si>
    <t>Strawberries Blackberries Honey Maple Syrup</t>
  </si>
  <si>
    <t>Strawberries Blackberries Honey Granola</t>
  </si>
  <si>
    <t>Strawberries Blackberries Honey Banana</t>
  </si>
  <si>
    <t>Strawberries Blackberries Mango Oats</t>
  </si>
  <si>
    <t>Strawberries Blackberries Mango Honey</t>
  </si>
  <si>
    <t>Strawberries Blackberries Mango Dates</t>
  </si>
  <si>
    <t>Strawberries Blackberries Mango Maple Syrup</t>
  </si>
  <si>
    <t>Strawberries Blackberries Mango Granola</t>
  </si>
  <si>
    <t>Strawberries Blackberries Mango Banana</t>
  </si>
  <si>
    <t>Strawberries Blackberries Pineapple Oats</t>
  </si>
  <si>
    <t>Strawberries Blackberries Pineapple Honey</t>
  </si>
  <si>
    <t>Strawberries Blackberries Pineapple Dates</t>
  </si>
  <si>
    <t>Strawberries Blackberries Pineapple Maple Syrup</t>
  </si>
  <si>
    <t>Strawberries Blackberries Pineapple Granola</t>
  </si>
  <si>
    <t>Strawberries Blackberries Pineapple Banana</t>
  </si>
  <si>
    <t>Strawberries Cherries Blueberries Oats</t>
  </si>
  <si>
    <t>Strawberries Cherries Blueberries Honey</t>
  </si>
  <si>
    <t>Strawberries Cherries Blueberries Dates</t>
  </si>
  <si>
    <t>Strawberries Cherries Blueberries Maple Syrup</t>
  </si>
  <si>
    <t>Strawberries Cherries Blueberries Granola</t>
  </si>
  <si>
    <t>Strawberries Cherries Blueberries Banana</t>
  </si>
  <si>
    <t>Strawberries Cherries Peach Oats</t>
  </si>
  <si>
    <t>Strawberries Cherries Peach Honey</t>
  </si>
  <si>
    <t>Strawberries Cherries Peach Dates</t>
  </si>
  <si>
    <t>Strawberries Cherries Peach Maple Syrup</t>
  </si>
  <si>
    <t>Strawberries Cherries Peach Granola</t>
  </si>
  <si>
    <t>Strawberries Cherries Peach Banana</t>
  </si>
  <si>
    <t>Strawberries Cherries Apple Oats</t>
  </si>
  <si>
    <t>Strawberries Cherries Apple Honey</t>
  </si>
  <si>
    <t>Strawberries Cherries Apple Dates</t>
  </si>
  <si>
    <t>Strawberries Cherries Apple Maple Syrup</t>
  </si>
  <si>
    <t>Strawberries Cherries Apple Granola</t>
  </si>
  <si>
    <t>Strawberries Cherries Apple Banana</t>
  </si>
  <si>
    <t>Strawberries Cherries Dates Oats</t>
  </si>
  <si>
    <t>Strawberries Cherries Dates Honey</t>
  </si>
  <si>
    <t>Strawberries Cherries Dates Dates</t>
  </si>
  <si>
    <t>Strawberries Cherries Dates Maple Syrup</t>
  </si>
  <si>
    <t>Strawberries Cherries Dates Granola</t>
  </si>
  <si>
    <t>Strawberries Cherries Dates Banana</t>
  </si>
  <si>
    <t>Strawberries Cherries Honey Oats</t>
  </si>
  <si>
    <t>Strawberries Cherries Honey Honey</t>
  </si>
  <si>
    <t>Strawberries Cherries Honey Dates</t>
  </si>
  <si>
    <t>Strawberries Cherries Honey Maple Syrup</t>
  </si>
  <si>
    <t>Strawberries Cherries Honey Granola</t>
  </si>
  <si>
    <t>Strawberries Cherries Honey Banana</t>
  </si>
  <si>
    <t>Strawberries Cherries Mango Oats</t>
  </si>
  <si>
    <t>Strawberries Cherries Mango Honey</t>
  </si>
  <si>
    <t>Strawberries Cherries Mango Dates</t>
  </si>
  <si>
    <t>Strawberries Cherries Mango Maple Syrup</t>
  </si>
  <si>
    <t>Strawberries Cherries Mango Granola</t>
  </si>
  <si>
    <t>Strawberries Cherries Mango Banana</t>
  </si>
  <si>
    <t>Strawberries Cherries Pineapple Oats</t>
  </si>
  <si>
    <t>Strawberries Cherries Pineapple Honey</t>
  </si>
  <si>
    <t>Strawberries Cherries Pineapple Dates</t>
  </si>
  <si>
    <t>Strawberries Cherries Pineapple Maple Syrup</t>
  </si>
  <si>
    <t>Strawberries Cherries Pineapple Granola</t>
  </si>
  <si>
    <t>Strawberries Cherries Pineapple Banana</t>
  </si>
  <si>
    <t>Strawberries Mango Blueberries Oats</t>
  </si>
  <si>
    <t>Strawberries Mango Blueberries Honey</t>
  </si>
  <si>
    <t>Strawberries Mango Blueberries Dates</t>
  </si>
  <si>
    <t>Strawberries Mango Blueberries Maple Syrup</t>
  </si>
  <si>
    <t>Strawberries Mango Blueberries Granola</t>
  </si>
  <si>
    <t>Strawberries Mango Blueberries Banana</t>
  </si>
  <si>
    <t>Strawberries Mango Peach Oats</t>
  </si>
  <si>
    <t>Strawberries Mango Peach Honey</t>
  </si>
  <si>
    <t>Strawberries Mango Peach Dates</t>
  </si>
  <si>
    <t>Strawberries Mango Peach Maple Syrup</t>
  </si>
  <si>
    <t>Strawberries Mango Peach Granola</t>
  </si>
  <si>
    <t>Strawberries Mango Peach Banana</t>
  </si>
  <si>
    <t>Strawberries Mango Apple Oats</t>
  </si>
  <si>
    <t>Strawberries Mango Apple Honey</t>
  </si>
  <si>
    <t>Strawberries Mango Apple Dates</t>
  </si>
  <si>
    <t>Strawberries Mango Apple Maple Syrup</t>
  </si>
  <si>
    <t>Strawberries Mango Apple Granola</t>
  </si>
  <si>
    <t>Strawberries Mango Apple Banana</t>
  </si>
  <si>
    <t>Strawberries Mango Dates Oats</t>
  </si>
  <si>
    <t>Strawberries Mango Dates Honey</t>
  </si>
  <si>
    <t>Strawberries Mango Dates Dates</t>
  </si>
  <si>
    <t>Strawberries Mango Dates Maple Syrup</t>
  </si>
  <si>
    <t>Strawberries Mango Dates Granola</t>
  </si>
  <si>
    <t>Strawberries Mango Dates Banana</t>
  </si>
  <si>
    <t>Strawberries Mango Honey Oats</t>
  </si>
  <si>
    <t>Strawberries Mango Honey Honey</t>
  </si>
  <si>
    <t>Strawberries Mango Honey Dates</t>
  </si>
  <si>
    <t>Strawberries Mango Honey Maple Syrup</t>
  </si>
  <si>
    <t>Strawberries Mango Honey Granola</t>
  </si>
  <si>
    <t>Strawberries Mango Honey Banana</t>
  </si>
  <si>
    <t>Strawberries Mango Mango Oats</t>
  </si>
  <si>
    <t>Strawberries Mango Mango Honey</t>
  </si>
  <si>
    <t>Strawberries Mango Mango Dates</t>
  </si>
  <si>
    <t>Strawberries Mango Mango Maple Syrup</t>
  </si>
  <si>
    <t>Strawberries Mango Mango Granola</t>
  </si>
  <si>
    <t>Strawberries Mango Mango Banana</t>
  </si>
  <si>
    <t>Strawberries Mango Pineapple Oats</t>
  </si>
  <si>
    <t>Strawberries Mango Pineapple Honey</t>
  </si>
  <si>
    <t>Strawberries Mango Pineapple Dates</t>
  </si>
  <si>
    <t>Strawberries Mango Pineapple Maple Syrup</t>
  </si>
  <si>
    <t>Strawberries Mango Pineapple Granola</t>
  </si>
  <si>
    <t>Strawberries Mango Pineapple Banana</t>
  </si>
  <si>
    <t>Strawberries Pineapple Blueberries Oats</t>
  </si>
  <si>
    <t>Strawberries Pineapple Blueberries Honey</t>
  </si>
  <si>
    <t>Strawberries Pineapple Blueberries Dates</t>
  </si>
  <si>
    <t>Strawberries Pineapple Blueberries Maple Syrup</t>
  </si>
  <si>
    <t>Strawberries Pineapple Blueberries Granola</t>
  </si>
  <si>
    <t>Strawberries Pineapple Blueberries Banana</t>
  </si>
  <si>
    <t>Strawberries Pineapple Peach Oats</t>
  </si>
  <si>
    <t>Strawberries Pineapple Peach Honey</t>
  </si>
  <si>
    <t>Strawberries Pineapple Peach Dates</t>
  </si>
  <si>
    <t>Strawberries Pineapple Peach Maple Syrup</t>
  </si>
  <si>
    <t>Strawberries Pineapple Peach Granola</t>
  </si>
  <si>
    <t>Strawberries Pineapple Peach Banana</t>
  </si>
  <si>
    <t>Strawberries Pineapple Apple Oats</t>
  </si>
  <si>
    <t>Strawberries Pineapple Apple Honey</t>
  </si>
  <si>
    <t>Strawberries Pineapple Apple Dates</t>
  </si>
  <si>
    <t>Strawberries Pineapple Apple Maple Syrup</t>
  </si>
  <si>
    <t>Strawberries Pineapple Apple Granola</t>
  </si>
  <si>
    <t>Strawberries Pineapple Apple Banana</t>
  </si>
  <si>
    <t>Strawberries Pineapple Dates Oats</t>
  </si>
  <si>
    <t>Strawberries Pineapple Dates Honey</t>
  </si>
  <si>
    <t>Strawberries Pineapple Dates Dates</t>
  </si>
  <si>
    <t>Strawberries Pineapple Dates Maple Syrup</t>
  </si>
  <si>
    <t>Strawberries Pineapple Dates Granola</t>
  </si>
  <si>
    <t>Strawberries Pineapple Dates Banana</t>
  </si>
  <si>
    <t>Strawberries Pineapple Honey Oats</t>
  </si>
  <si>
    <t>Strawberries Pineapple Honey Honey</t>
  </si>
  <si>
    <t>Strawberries Pineapple Honey Dates</t>
  </si>
  <si>
    <t>Strawberries Pineapple Honey Maple Syrup</t>
  </si>
  <si>
    <t>Strawberries Pineapple Honey Granola</t>
  </si>
  <si>
    <t>Strawberries Pineapple Honey Banana</t>
  </si>
  <si>
    <t>Strawberries Pineapple Mango Oats</t>
  </si>
  <si>
    <t>Strawberries Pineapple Mango Honey</t>
  </si>
  <si>
    <t>Strawberries Pineapple Mango Dates</t>
  </si>
  <si>
    <t>Strawberries Pineapple Mango Maple Syrup</t>
  </si>
  <si>
    <t>Strawberries Pineapple Mango Granola</t>
  </si>
  <si>
    <t>Strawberries Pineapple Mango Banana</t>
  </si>
  <si>
    <t>Strawberries Pineapple Pineapple Oats</t>
  </si>
  <si>
    <t>Strawberries Pineapple Pineapple Honey</t>
  </si>
  <si>
    <t>Strawberries Pineapple Pineapple Dates</t>
  </si>
  <si>
    <t>Strawberries Pineapple Pineapple Maple Syrup</t>
  </si>
  <si>
    <t>Strawberries Pineapple Pineapple Granola</t>
  </si>
  <si>
    <t>Strawberries Pineapple Pineapple Banana</t>
  </si>
  <si>
    <t>-</t>
  </si>
  <si>
    <t>Peanut Butter</t>
  </si>
  <si>
    <t>Almond Butter</t>
  </si>
  <si>
    <t>Cashew Butter</t>
  </si>
  <si>
    <t>Chia Seeds</t>
  </si>
  <si>
    <t>Flax Seeds</t>
  </si>
  <si>
    <t>Hemp Seeds</t>
  </si>
  <si>
    <t>Avocado</t>
  </si>
  <si>
    <t>Coconut Oil</t>
  </si>
  <si>
    <t>MCT Oil</t>
  </si>
  <si>
    <t>Dark Chocolate</t>
  </si>
  <si>
    <t>Walnuts</t>
  </si>
  <si>
    <t>Pecans</t>
  </si>
  <si>
    <t>Macadamia Nuts</t>
  </si>
  <si>
    <t>Tahini</t>
  </si>
  <si>
    <t>Peanut Butter,</t>
  </si>
  <si>
    <t>Almond Butter,</t>
  </si>
  <si>
    <t>Cashew Butter,</t>
  </si>
  <si>
    <t>Chia Seeds,</t>
  </si>
  <si>
    <t>Flax Seeds,</t>
  </si>
  <si>
    <t>Hemp Seeds,</t>
  </si>
  <si>
    <t>Avocado,</t>
  </si>
  <si>
    <t>Coconut Oil,</t>
  </si>
  <si>
    <t>MCT Oil,</t>
  </si>
  <si>
    <t>Walnuts,</t>
  </si>
  <si>
    <t>Pecans,</t>
  </si>
  <si>
    <t>Macadamia Nuts,</t>
  </si>
  <si>
    <t>Tahini,</t>
  </si>
  <si>
    <t>Dark Chocolate,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</si>
</sst>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sz val="22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8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i/>
      <sz val="11"/>
      <color rgb="FFFF0000"/>
      <name val="Calibri"/>
      <family val="2"/>
      <scheme val="minor"/>
    </font>
    <font>
      <sz val="24"/>
      <color theme="0"/>
      <name val="Calibri"/>
      <family val="2"/>
      <scheme val="minor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27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164" fontId="0" fillId="0" borderId="0" xfId="0" applyNumberFormat="1"/>
    <xf numFmtId="0" fontId="0" fillId="0" borderId="1" xfId="0" applyBorder="1"/>
    <xf numFmtId="0" fontId="1" fillId="0" borderId="0" xfId="0" applyFont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4" fillId="4" borderId="0" xfId="0" applyFont="1" applyFill="1" applyAlignment="1">
      <alignment vertical="center"/>
    </xf>
    <xf numFmtId="0" fontId="4" fillId="4" borderId="0" xfId="0" applyFont="1" applyFill="1"/>
    <xf numFmtId="0" fontId="5" fillId="4" borderId="0" xfId="0" applyFont="1" applyFill="1" applyAlignment="1">
      <alignment vertical="center"/>
    </xf>
    <xf numFmtId="0" fontId="7" fillId="4" borderId="0" xfId="2" applyFont="1" applyFill="1" applyAlignment="1">
      <alignment horizontal="center" vertical="center"/>
    </xf>
    <xf numFmtId="0" fontId="8" fillId="4" borderId="0" xfId="0" applyFont="1" applyFill="1" applyAlignment="1">
      <alignment horizontal="center"/>
    </xf>
    <xf numFmtId="0" fontId="9" fillId="0" borderId="0" xfId="0" applyFont="1"/>
    <xf numFmtId="0" fontId="10" fillId="5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0" fillId="0" borderId="0" xfId="1" applyNumberFormat="1" applyFont="1" applyAlignment="1">
      <alignment horizontal="center"/>
    </xf>
    <xf numFmtId="0" fontId="3" fillId="0" borderId="0" xfId="0" applyFont="1" applyAlignment="1">
      <alignment horizontal="right"/>
    </xf>
    <xf numFmtId="0" fontId="1" fillId="0" borderId="0" xfId="0" applyFont="1" applyAlignment="1">
      <alignment horizontal="right"/>
    </xf>
    <xf numFmtId="0" fontId="0" fillId="2" borderId="0" xfId="0" quotePrefix="1" applyFill="1" applyAlignment="1">
      <alignment horizontal="center"/>
    </xf>
    <xf numFmtId="0" fontId="0" fillId="6" borderId="3" xfId="0" applyFill="1" applyBorder="1" applyAlignment="1">
      <alignment horizontal="center"/>
    </xf>
    <xf numFmtId="0" fontId="0" fillId="0" borderId="3" xfId="0" applyBorder="1"/>
    <xf numFmtId="0" fontId="0" fillId="0" borderId="4" xfId="0" applyBorder="1"/>
    <xf numFmtId="0" fontId="0" fillId="0" borderId="0" xfId="0" quotePrefix="1"/>
  </cellXfs>
  <cellStyles count="3">
    <cellStyle name="Comma" xfId="1" builtinId="3"/>
    <cellStyle name="Hyperlink" xfId="2" builtinId="8"/>
    <cellStyle name="Normal" xfId="0" builtinId="0"/>
  </cellStyles>
  <dxfs count="8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3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4CD544E-F2B1-42F5-A6C4-44487100625C}" name="T_L1" displayName="T_L1" ref="B6:B56" totalsRowShown="0" headerRowDxfId="7" dataDxfId="6">
  <autoFilter ref="B6:B56" xr:uid="{FA18EB8B-AE70-45C5-8E05-71B26F035D31}">
    <filterColumn colId="0" hiddenButton="1"/>
  </autoFilter>
  <tableColumns count="1">
    <tableColumn id="1" xr3:uid="{7E3EB600-CD83-4B36-B8FC-09C829C1F0CC}" name="LIST 1" dataDxfId="5"/>
  </tableColumns>
  <tableStyleInfo name="TableStyleMedium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CBBD931-4562-4A7C-B0E4-E1A066D85299}" name="T_L2" displayName="T_L2" ref="D6:D21" totalsRowShown="0" headerRowDxfId="4">
  <autoFilter ref="D6:D21" xr:uid="{A74F6CB3-02FE-44BE-8DA2-04D28052DC88}">
    <filterColumn colId="0" hiddenButton="1"/>
  </autoFilter>
  <tableColumns count="1">
    <tableColumn id="1" xr3:uid="{A19FFF11-0B40-4536-993B-83826EE8417D}" name="LIST 2"/>
  </tableColumns>
  <tableStyleInfo name="TableStyleMedium1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3815BC4C-71E2-4DFA-884B-087501EF9716}" name="T_L6" displayName="T_L6" ref="L6:L16" totalsRowShown="0" headerRowDxfId="3">
  <autoFilter ref="L6:L16" xr:uid="{3CCA0E79-3E59-439F-BF9F-A9629120AC58}">
    <filterColumn colId="0" hiddenButton="1"/>
  </autoFilter>
  <tableColumns count="1">
    <tableColumn id="1" xr3:uid="{C0DEB959-1998-4E8D-B553-2EEB5C9CD5D1}" name="LIST 6"/>
  </tableColumns>
  <tableStyleInfo name="TableStyleMedium1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DBD2E2F1-342B-4189-9F50-C39E15FCFE8C}" name="T_L5" displayName="T_L5" ref="J6:J16" totalsRowShown="0" headerRowDxfId="2">
  <autoFilter ref="J6:J16" xr:uid="{861AC5C1-73B5-4396-8E52-89C4BA045438}">
    <filterColumn colId="0" hiddenButton="1"/>
  </autoFilter>
  <tableColumns count="1">
    <tableColumn id="1" xr3:uid="{34DBCA0B-75CC-4223-BD94-97E18652E5EA}" name="LIST 5"/>
  </tableColumns>
  <tableStyleInfo name="TableStyleMedium2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B8B79A27-9F2D-42EA-971E-EFBE99524648}" name="T_L4" displayName="T_L4" ref="H6:H16" totalsRowShown="0" headerRowDxfId="1">
  <autoFilter ref="H6:H16" xr:uid="{CD261ACB-A0F5-456D-8437-16E2EBA402D3}">
    <filterColumn colId="0" hiddenButton="1"/>
  </autoFilter>
  <tableColumns count="1">
    <tableColumn id="1" xr3:uid="{7CE21A5A-5092-4761-B263-004D33B96C7C}" name="LIST 4"/>
  </tableColumns>
  <tableStyleInfo name="TableStyleMedium1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7FC6C385-8696-4F66-8BE0-060D047C66CB}" name="T_L3" displayName="T_L3" ref="F6:F16" totalsRowShown="0" headerRowDxfId="0">
  <autoFilter ref="F6:F16" xr:uid="{25DDA607-4B08-4236-ACF3-69D40EB5AD05}">
    <filterColumn colId="0" hiddenButton="1"/>
  </autoFilter>
  <tableColumns count="1">
    <tableColumn id="1" xr3:uid="{24F7F01E-356F-40A2-A3E5-CB2A54DA71AA}" name="LIST 3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5.xml"/><Relationship Id="rId3" Type="http://schemas.openxmlformats.org/officeDocument/2006/relationships/vmlDrawing" Target="../drawings/vmlDrawing1.vml"/><Relationship Id="rId7" Type="http://schemas.openxmlformats.org/officeDocument/2006/relationships/table" Target="../tables/table4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indzara.com/" TargetMode="External"/><Relationship Id="rId6" Type="http://schemas.openxmlformats.org/officeDocument/2006/relationships/table" Target="../tables/table3.xml"/><Relationship Id="rId5" Type="http://schemas.openxmlformats.org/officeDocument/2006/relationships/table" Target="../tables/table2.xml"/><Relationship Id="rId10" Type="http://schemas.openxmlformats.org/officeDocument/2006/relationships/comments" Target="../comments1.xml"/><Relationship Id="rId4" Type="http://schemas.openxmlformats.org/officeDocument/2006/relationships/table" Target="../tables/table1.xml"/><Relationship Id="rId9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F7A36-7243-4C8D-BFF7-53914B9ADD1A}">
  <dimension ref="A1:AC514"/>
  <sheetViews>
    <sheetView showGridLines="0" tabSelected="1" zoomScale="120" zoomScaleNormal="120" workbookViewId="0">
      <selection activeCell="F7" sqref="F7:F21"/>
    </sheetView>
  </sheetViews>
  <sheetFormatPr baseColWidth="10" defaultColWidth="8.83203125" defaultRowHeight="15" x14ac:dyDescent="0.2"/>
  <cols>
    <col min="1" max="1" width="3" customWidth="1"/>
    <col min="2" max="2" width="47.83203125" bestFit="1" customWidth="1"/>
    <col min="3" max="3" width="4.1640625" customWidth="1"/>
    <col min="4" max="4" width="15.33203125" customWidth="1"/>
    <col min="5" max="5" width="3.5" customWidth="1"/>
    <col min="6" max="6" width="17.5" bestFit="1" customWidth="1"/>
    <col min="7" max="7" width="2.1640625" customWidth="1"/>
    <col min="8" max="8" width="14.33203125" customWidth="1"/>
    <col min="9" max="9" width="2.6640625" customWidth="1"/>
    <col min="10" max="10" width="13.5" bestFit="1" customWidth="1"/>
    <col min="11" max="11" width="2.6640625" customWidth="1"/>
    <col min="12" max="12" width="15.5" bestFit="1" customWidth="1"/>
    <col min="13" max="13" width="2.6640625" customWidth="1"/>
    <col min="14" max="14" width="3.6640625" customWidth="1"/>
    <col min="15" max="15" width="10.1640625" bestFit="1" customWidth="1"/>
    <col min="16" max="16" width="80.33203125" bestFit="1" customWidth="1"/>
    <col min="17" max="17" width="5.1640625" customWidth="1"/>
    <col min="18" max="18" width="34.33203125" customWidth="1"/>
    <col min="19" max="25" width="10.1640625" customWidth="1"/>
    <col min="26" max="26" width="16" customWidth="1"/>
    <col min="27" max="27" width="19" customWidth="1"/>
    <col min="28" max="28" width="25.83203125" customWidth="1"/>
    <col min="29" max="29" width="20.1640625" customWidth="1"/>
  </cols>
  <sheetData>
    <row r="1" spans="1:29" ht="49.5" customHeight="1" x14ac:dyDescent="0.2">
      <c r="A1" s="13" t="s">
        <v>21</v>
      </c>
      <c r="B1" s="13"/>
      <c r="C1" s="12"/>
      <c r="D1" s="12"/>
      <c r="E1" s="12"/>
      <c r="F1" s="12"/>
      <c r="G1" s="12"/>
      <c r="H1" s="12"/>
      <c r="I1" s="12"/>
      <c r="J1" s="12"/>
      <c r="K1" s="12"/>
      <c r="L1" s="17">
        <f>N_LISTS</f>
        <v>2</v>
      </c>
      <c r="M1" s="11"/>
      <c r="N1" s="12"/>
      <c r="O1" s="12"/>
      <c r="P1" s="18">
        <f ca="1">N</f>
        <v>210</v>
      </c>
      <c r="Q1" s="12"/>
      <c r="R1" s="14" t="s">
        <v>22</v>
      </c>
    </row>
    <row r="2" spans="1:29" x14ac:dyDescent="0.2">
      <c r="B2" s="1" t="s">
        <v>20</v>
      </c>
      <c r="L2" s="5" t="s">
        <v>33</v>
      </c>
      <c r="P2" s="5" t="s">
        <v>34</v>
      </c>
      <c r="R2" s="20" t="s">
        <v>35</v>
      </c>
    </row>
    <row r="3" spans="1:29" x14ac:dyDescent="0.2">
      <c r="B3" s="16" t="s">
        <v>31</v>
      </c>
      <c r="R3" s="20" t="s">
        <v>38</v>
      </c>
    </row>
    <row r="4" spans="1:29" x14ac:dyDescent="0.2">
      <c r="B4" s="16" t="s">
        <v>39</v>
      </c>
      <c r="O4" s="21" t="s">
        <v>40</v>
      </c>
      <c r="P4" s="22" t="s">
        <v>41</v>
      </c>
    </row>
    <row r="5" spans="1:29" x14ac:dyDescent="0.2">
      <c r="C5" s="2"/>
      <c r="D5" s="2"/>
      <c r="E5" s="2"/>
      <c r="F5" s="2"/>
      <c r="G5" s="2"/>
      <c r="H5" s="2"/>
      <c r="I5" s="2"/>
      <c r="J5" s="2"/>
      <c r="K5" s="2"/>
      <c r="L5" s="2"/>
      <c r="P5" s="1" t="s">
        <v>23</v>
      </c>
    </row>
    <row r="6" spans="1:29" ht="19" x14ac:dyDescent="0.25">
      <c r="B6" s="10" t="s">
        <v>5</v>
      </c>
      <c r="C6" s="9"/>
      <c r="D6" s="9" t="s">
        <v>6</v>
      </c>
      <c r="E6" s="9"/>
      <c r="F6" s="9" t="s">
        <v>7</v>
      </c>
      <c r="G6" s="9"/>
      <c r="H6" s="9" t="s">
        <v>8</v>
      </c>
      <c r="I6" s="9"/>
      <c r="J6" s="9" t="s">
        <v>9</v>
      </c>
      <c r="K6" s="9"/>
      <c r="L6" s="9" t="s">
        <v>10</v>
      </c>
      <c r="P6" s="15" t="s">
        <v>19</v>
      </c>
      <c r="R6" s="15" t="s">
        <v>18</v>
      </c>
      <c r="Z6" t="s">
        <v>0</v>
      </c>
      <c r="AA6" t="s">
        <v>1</v>
      </c>
      <c r="AB6" t="s">
        <v>2</v>
      </c>
    </row>
    <row r="7" spans="1:29" x14ac:dyDescent="0.2">
      <c r="B7" t="s">
        <v>1094</v>
      </c>
      <c r="D7" t="s">
        <v>1080</v>
      </c>
      <c r="P7" s="6" t="str">
        <f ca="1">IFERROR(IF(HELP!$F3&gt;N,"",INDEX(T_L1[],HELP!G3,1)
&amp;IF(N_LISTS=1,"",I_S&amp;INDEX(T_L2[],HELP!H3,1)
&amp;IF(N_LISTS=2,"",I_S&amp;INDEX(T_L3[],HELP!I3,1)
&amp;IF(N_LISTS=3,"",I_S&amp;INDEX(T_L4[],HELP!J3,1)
&amp;IF(N_LISTS=4,"",I_S&amp;INDEX(T_L5[],HELP!K3,1)
&amp;IF(N_LISTS=5,"",I_S&amp;INDEX(T_L6[],HELP!L3,1))))))),"")</f>
        <v>Peanut Butter, Peanut Butter</v>
      </c>
      <c r="R7" s="4" t="s">
        <v>42</v>
      </c>
      <c r="Z7" t="str">
        <f ca="1">IFERROR(INDEX(T_L1[LIST 1],HELP!G3),"")</f>
        <v>Peanut Butter,</v>
      </c>
      <c r="AA7" t="str">
        <f ca="1">IF(Z7="","",INDEX(T_L2[LIST 2],HELP!H3))</f>
        <v>Peanut Butter</v>
      </c>
      <c r="AB7" t="str">
        <f ca="1">Z7&amp;" - "&amp;AA7</f>
        <v>Peanut Butter, - Peanut Butter</v>
      </c>
      <c r="AC7" t="str">
        <f ca="1">AA7&amp;" - "&amp;AB7</f>
        <v>Peanut Butter - Peanut Butter, - Peanut Butter</v>
      </c>
    </row>
    <row r="8" spans="1:29" x14ac:dyDescent="0.2">
      <c r="B8" t="s">
        <v>1095</v>
      </c>
      <c r="D8" t="s">
        <v>1081</v>
      </c>
      <c r="P8" s="7" t="str">
        <f ca="1">IFERROR(IF(HELP!$F4&gt;N,"",INDEX(T_L1[],HELP!G4,1)
&amp;IF(N_LISTS=1,"",I_S&amp;INDEX(T_L2[],HELP!H4,1)
&amp;IF(N_LISTS=2,"",I_S&amp;INDEX(T_L3[],HELP!I4,1)
&amp;IF(N_LISTS=3,"",I_S&amp;INDEX(T_L4[],HELP!J4,1)
&amp;IF(N_LISTS=4,"",I_S&amp;INDEX(T_L5[],HELP!K4,1)
&amp;IF(N_LISTS=5,"",I_S&amp;INDEX(T_L6[],HELP!L4,1))))))),"")</f>
        <v>Peanut Butter, Almond Butter</v>
      </c>
      <c r="Z8" t="str">
        <f ca="1">IFERROR(INDEX(T_L1[LIST 1],HELP!G4),"")</f>
        <v>Peanut Butter,</v>
      </c>
      <c r="AA8" t="str">
        <f ca="1">IF(Z8="","",INDEX(T_L2[LIST 2],HELP!H4))</f>
        <v>Almond Butter</v>
      </c>
      <c r="AB8" t="str">
        <f t="shared" ref="AB8:AB17" ca="1" si="0">Z8&amp;" - "&amp;AA8</f>
        <v>Peanut Butter, - Almond Butter</v>
      </c>
    </row>
    <row r="9" spans="1:29" x14ac:dyDescent="0.2">
      <c r="B9" t="s">
        <v>1096</v>
      </c>
      <c r="D9" t="s">
        <v>1082</v>
      </c>
      <c r="P9" s="7" t="str">
        <f ca="1">IFERROR(IF(HELP!$F5&gt;N,"",INDEX(T_L1[],HELP!G5,1)
&amp;IF(N_LISTS=1,"",I_S&amp;INDEX(T_L2[],HELP!H5,1)
&amp;IF(N_LISTS=2,"",I_S&amp;INDEX(T_L3[],HELP!I5,1)
&amp;IF(N_LISTS=3,"",I_S&amp;INDEX(T_L4[],HELP!J5,1)
&amp;IF(N_LISTS=4,"",I_S&amp;INDEX(T_L5[],HELP!K5,1)
&amp;IF(N_LISTS=5,"",I_S&amp;INDEX(T_L6[],HELP!L5,1))))))),"")</f>
        <v>Peanut Butter, Cashew Butter</v>
      </c>
      <c r="Z9" t="str">
        <f ca="1">IFERROR(INDEX(T_L1[LIST 1],HELP!G5),"")</f>
        <v>Peanut Butter,</v>
      </c>
      <c r="AA9" t="str">
        <f ca="1">IF(Z9="","",INDEX(T_L2[LIST 2],HELP!H5))</f>
        <v>Cashew Butter</v>
      </c>
      <c r="AB9" t="str">
        <f t="shared" ca="1" si="0"/>
        <v>Peanut Butter, - Cashew Butter</v>
      </c>
    </row>
    <row r="10" spans="1:29" x14ac:dyDescent="0.2">
      <c r="B10" t="s">
        <v>1097</v>
      </c>
      <c r="D10" t="s">
        <v>1083</v>
      </c>
      <c r="P10" s="7" t="str">
        <f ca="1">IFERROR(IF(HELP!$F6&gt;N,"",INDEX(T_L1[],HELP!G6,1)
&amp;IF(N_LISTS=1,"",I_S&amp;INDEX(T_L2[],HELP!H6,1)
&amp;IF(N_LISTS=2,"",I_S&amp;INDEX(T_L3[],HELP!I6,1)
&amp;IF(N_LISTS=3,"",I_S&amp;INDEX(T_L4[],HELP!J6,1)
&amp;IF(N_LISTS=4,"",I_S&amp;INDEX(T_L5[],HELP!K6,1)
&amp;IF(N_LISTS=5,"",I_S&amp;INDEX(T_L6[],HELP!L6,1))))))),"")</f>
        <v>Peanut Butter, Chia Seeds</v>
      </c>
      <c r="Z10" t="str">
        <f ca="1">IFERROR(INDEX(T_L1[LIST 1],HELP!G6),"")</f>
        <v>Peanut Butter,</v>
      </c>
      <c r="AA10" t="str">
        <f ca="1">IF(Z10="","",INDEX(T_L2[LIST 2],HELP!H6))</f>
        <v>Chia Seeds</v>
      </c>
      <c r="AB10" t="str">
        <f t="shared" ca="1" si="0"/>
        <v>Peanut Butter, - Chia Seeds</v>
      </c>
    </row>
    <row r="11" spans="1:29" x14ac:dyDescent="0.2">
      <c r="B11" t="s">
        <v>1098</v>
      </c>
      <c r="D11" t="s">
        <v>1084</v>
      </c>
      <c r="P11" s="7" t="str">
        <f ca="1">IFERROR(IF(HELP!$F7&gt;N,"",INDEX(T_L1[],HELP!G7,1)
&amp;IF(N_LISTS=1,"",I_S&amp;INDEX(T_L2[],HELP!H7,1)
&amp;IF(N_LISTS=2,"",I_S&amp;INDEX(T_L3[],HELP!I7,1)
&amp;IF(N_LISTS=3,"",I_S&amp;INDEX(T_L4[],HELP!J7,1)
&amp;IF(N_LISTS=4,"",I_S&amp;INDEX(T_L5[],HELP!K7,1)
&amp;IF(N_LISTS=5,"",I_S&amp;INDEX(T_L6[],HELP!L7,1))))))),"")</f>
        <v>Peanut Butter, Flax Seeds</v>
      </c>
      <c r="Z11" t="str">
        <f ca="1">IFERROR(INDEX(T_L1[LIST 1],HELP!G7),"")</f>
        <v>Peanut Butter,</v>
      </c>
      <c r="AA11" t="str">
        <f ca="1">IF(Z11="","",INDEX(T_L2[LIST 2],HELP!H7))</f>
        <v>Flax Seeds</v>
      </c>
      <c r="AB11" t="str">
        <f t="shared" ca="1" si="0"/>
        <v>Peanut Butter, - Flax Seeds</v>
      </c>
    </row>
    <row r="12" spans="1:29" x14ac:dyDescent="0.2">
      <c r="B12" t="s">
        <v>1099</v>
      </c>
      <c r="D12" t="s">
        <v>1085</v>
      </c>
      <c r="P12" s="7" t="str">
        <f ca="1">IFERROR(IF(HELP!$F8&gt;N,"",INDEX(T_L1[],HELP!G8,1)
&amp;IF(N_LISTS=1,"",I_S&amp;INDEX(T_L2[],HELP!H8,1)
&amp;IF(N_LISTS=2,"",I_S&amp;INDEX(T_L3[],HELP!I8,1)
&amp;IF(N_LISTS=3,"",I_S&amp;INDEX(T_L4[],HELP!J8,1)
&amp;IF(N_LISTS=4,"",I_S&amp;INDEX(T_L5[],HELP!K8,1)
&amp;IF(N_LISTS=5,"",I_S&amp;INDEX(T_L6[],HELP!L8,1))))))),"")</f>
        <v>Peanut Butter, Hemp Seeds</v>
      </c>
      <c r="Z12" t="str">
        <f ca="1">IFERROR(INDEX(T_L1[LIST 1],HELP!G8),"")</f>
        <v>Peanut Butter,</v>
      </c>
      <c r="AA12" t="str">
        <f ca="1">IF(Z12="","",INDEX(T_L2[LIST 2],HELP!H8))</f>
        <v>Hemp Seeds</v>
      </c>
      <c r="AB12" t="str">
        <f t="shared" ca="1" si="0"/>
        <v>Peanut Butter, - Hemp Seeds</v>
      </c>
    </row>
    <row r="13" spans="1:29" x14ac:dyDescent="0.2">
      <c r="B13" t="s">
        <v>1100</v>
      </c>
      <c r="D13" t="s">
        <v>1086</v>
      </c>
      <c r="F13" s="25"/>
      <c r="P13" s="7" t="str">
        <f ca="1">IFERROR(IF(HELP!$F9&gt;N,"",INDEX(T_L1[],HELP!G9,1)
&amp;IF(N_LISTS=1,"",I_S&amp;INDEX(T_L2[],HELP!H9,1)
&amp;IF(N_LISTS=2,"",I_S&amp;INDEX(T_L3[],HELP!I9,1)
&amp;IF(N_LISTS=3,"",I_S&amp;INDEX(T_L4[],HELP!J9,1)
&amp;IF(N_LISTS=4,"",I_S&amp;INDEX(T_L5[],HELP!K9,1)
&amp;IF(N_LISTS=5,"",I_S&amp;INDEX(T_L6[],HELP!L9,1))))))),"")</f>
        <v>Peanut Butter, Avocado</v>
      </c>
      <c r="Z13" t="str">
        <f ca="1">IFERROR(INDEX(T_L1[LIST 1],HELP!G9),"")</f>
        <v>Peanut Butter,</v>
      </c>
      <c r="AA13" t="str">
        <f ca="1">IF(Z13="","",INDEX(T_L2[LIST 2],HELP!H9))</f>
        <v>Avocado</v>
      </c>
      <c r="AB13" t="str">
        <f t="shared" ca="1" si="0"/>
        <v>Peanut Butter, - Avocado</v>
      </c>
    </row>
    <row r="14" spans="1:29" x14ac:dyDescent="0.2">
      <c r="B14" t="s">
        <v>1101</v>
      </c>
      <c r="D14" s="26" t="s">
        <v>1087</v>
      </c>
      <c r="F14" s="24"/>
      <c r="P14" s="7" t="str">
        <f ca="1">IFERROR(IF(HELP!$F10&gt;N,"",INDEX(T_L1[],HELP!G10,1)
&amp;IF(N_LISTS=1,"",I_S&amp;INDEX(T_L2[],HELP!H10,1)
&amp;IF(N_LISTS=2,"",I_S&amp;INDEX(T_L3[],HELP!I10,1)
&amp;IF(N_LISTS=3,"",I_S&amp;INDEX(T_L4[],HELP!J10,1)
&amp;IF(N_LISTS=4,"",I_S&amp;INDEX(T_L5[],HELP!K10,1)
&amp;IF(N_LISTS=5,"",I_S&amp;INDEX(T_L6[],HELP!L10,1))))))),"")</f>
        <v>Peanut Butter, Coconut Oil</v>
      </c>
      <c r="Z14" t="str">
        <f ca="1">IFERROR(INDEX(T_L1[LIST 1],HELP!G10),"")</f>
        <v>Peanut Butter,</v>
      </c>
      <c r="AA14" t="str">
        <f ca="1">IF(Z14="","",INDEX(T_L2[LIST 2],HELP!H10))</f>
        <v>Coconut Oil</v>
      </c>
      <c r="AB14" t="str">
        <f t="shared" ca="1" si="0"/>
        <v>Peanut Butter, - Coconut Oil</v>
      </c>
    </row>
    <row r="15" spans="1:29" x14ac:dyDescent="0.2">
      <c r="B15" t="s">
        <v>1102</v>
      </c>
      <c r="D15" t="s">
        <v>1088</v>
      </c>
      <c r="P15" s="7" t="str">
        <f ca="1">IFERROR(IF(HELP!$F11&gt;N,"",INDEX(T_L1[],HELP!G11,1)
&amp;IF(N_LISTS=1,"",I_S&amp;INDEX(T_L2[],HELP!H11,1)
&amp;IF(N_LISTS=2,"",I_S&amp;INDEX(T_L3[],HELP!I11,1)
&amp;IF(N_LISTS=3,"",I_S&amp;INDEX(T_L4[],HELP!J11,1)
&amp;IF(N_LISTS=4,"",I_S&amp;INDEX(T_L5[],HELP!K11,1)
&amp;IF(N_LISTS=5,"",I_S&amp;INDEX(T_L6[],HELP!L11,1))))))),"")</f>
        <v>Peanut Butter, MCT Oil</v>
      </c>
      <c r="Z15" t="str">
        <f ca="1">IFERROR(INDEX(T_L1[LIST 1],HELP!G11),"")</f>
        <v>Peanut Butter,</v>
      </c>
      <c r="AA15" t="str">
        <f ca="1">IF(Z15="","",INDEX(T_L2[LIST 2],HELP!H11))</f>
        <v>MCT Oil</v>
      </c>
      <c r="AB15" t="str">
        <f t="shared" ca="1" si="0"/>
        <v>Peanut Butter, - MCT Oil</v>
      </c>
    </row>
    <row r="16" spans="1:29" x14ac:dyDescent="0.2">
      <c r="B16" t="s">
        <v>1103</v>
      </c>
      <c r="D16" t="s">
        <v>1090</v>
      </c>
      <c r="P16" s="7" t="str">
        <f ca="1">IFERROR(IF(HELP!$F12&gt;N,"",INDEX(T_L1[],HELP!G12,1)
&amp;IF(N_LISTS=1,"",I_S&amp;INDEX(T_L2[],HELP!H12,1)
&amp;IF(N_LISTS=2,"",I_S&amp;INDEX(T_L3[],HELP!I12,1)
&amp;IF(N_LISTS=3,"",I_S&amp;INDEX(T_L4[],HELP!J12,1)
&amp;IF(N_LISTS=4,"",I_S&amp;INDEX(T_L5[],HELP!K12,1)
&amp;IF(N_LISTS=5,"",I_S&amp;INDEX(T_L6[],HELP!L12,1))))))),"")</f>
        <v>Peanut Butter, Walnuts</v>
      </c>
      <c r="Z16" t="str">
        <f ca="1">IFERROR(INDEX(T_L1[LIST 1],HELP!G12),"")</f>
        <v>Peanut Butter,</v>
      </c>
      <c r="AA16" t="str">
        <f ca="1">IF(Z16="","",INDEX(T_L2[LIST 2],HELP!H12))</f>
        <v>Walnuts</v>
      </c>
      <c r="AB16" t="str">
        <f t="shared" ca="1" si="0"/>
        <v>Peanut Butter, - Walnuts</v>
      </c>
    </row>
    <row r="17" spans="2:28" x14ac:dyDescent="0.2">
      <c r="B17" t="s">
        <v>1104</v>
      </c>
      <c r="D17" t="s">
        <v>1091</v>
      </c>
      <c r="P17" s="7" t="str">
        <f ca="1">IFERROR(IF(HELP!$F13&gt;N,"",INDEX(T_L1[],HELP!G13,1)
&amp;IF(N_LISTS=1,"",I_S&amp;INDEX(T_L2[],HELP!H13,1)
&amp;IF(N_LISTS=2,"",I_S&amp;INDEX(T_L3[],HELP!I13,1)
&amp;IF(N_LISTS=3,"",I_S&amp;INDEX(T_L4[],HELP!J13,1)
&amp;IF(N_LISTS=4,"",I_S&amp;INDEX(T_L5[],HELP!K13,1)
&amp;IF(N_LISTS=5,"",I_S&amp;INDEX(T_L6[],HELP!L13,1))))))),"")</f>
        <v>Peanut Butter, Pecans</v>
      </c>
      <c r="Z17" t="str">
        <f ca="1">IFERROR(INDEX(T_L1[LIST 1],HELP!G13),"")</f>
        <v>Peanut Butter,</v>
      </c>
      <c r="AA17" t="str">
        <f ca="1">IF(Z17="","",INDEX(T_L2[LIST 2],HELP!H13))</f>
        <v>Pecans</v>
      </c>
      <c r="AB17" t="str">
        <f t="shared" ca="1" si="0"/>
        <v>Peanut Butter, - Pecans</v>
      </c>
    </row>
    <row r="18" spans="2:28" x14ac:dyDescent="0.2">
      <c r="B18" t="s">
        <v>1105</v>
      </c>
      <c r="D18" t="s">
        <v>1092</v>
      </c>
      <c r="P18" s="7" t="str">
        <f ca="1">IFERROR(IF(HELP!$F14&gt;N,"",INDEX(T_L1[],HELP!G14,1)
&amp;IF(N_LISTS=1,"",I_S&amp;INDEX(T_L2[],HELP!H14,1)
&amp;IF(N_LISTS=2,"",I_S&amp;INDEX(T_L3[],HELP!I14,1)
&amp;IF(N_LISTS=3,"",I_S&amp;INDEX(T_L4[],HELP!J14,1)
&amp;IF(N_LISTS=4,"",I_S&amp;INDEX(T_L5[],HELP!K14,1)
&amp;IF(N_LISTS=5,"",I_S&amp;INDEX(T_L6[],HELP!L14,1))))))),"")</f>
        <v>Peanut Butter, Macadamia Nuts</v>
      </c>
      <c r="Z18" t="str">
        <f ca="1">IFERROR(INDEX(T_L1[LIST 1],HELP!G14),"")</f>
        <v>Peanut Butter,</v>
      </c>
      <c r="AA18" t="str">
        <f ca="1">IF(Z18="","",INDEX(T_L2[LIST 2],HELP!H14))</f>
        <v>Macadamia Nuts</v>
      </c>
      <c r="AB18" t="str">
        <f t="shared" ref="AB18:AB36" ca="1" si="1">Z18&amp;" - "&amp;AA18</f>
        <v>Peanut Butter, - Macadamia Nuts</v>
      </c>
    </row>
    <row r="19" spans="2:28" x14ac:dyDescent="0.2">
      <c r="B19" t="s">
        <v>1106</v>
      </c>
      <c r="D19" t="s">
        <v>1093</v>
      </c>
      <c r="P19" s="7" t="str">
        <f ca="1">IFERROR(IF(HELP!$F15&gt;N,"",INDEX(T_L1[],HELP!G15,1)
&amp;IF(N_LISTS=1,"",I_S&amp;INDEX(T_L2[],HELP!H15,1)
&amp;IF(N_LISTS=2,"",I_S&amp;INDEX(T_L3[],HELP!I15,1)
&amp;IF(N_LISTS=3,"",I_S&amp;INDEX(T_L4[],HELP!J15,1)
&amp;IF(N_LISTS=4,"",I_S&amp;INDEX(T_L5[],HELP!K15,1)
&amp;IF(N_LISTS=5,"",I_S&amp;INDEX(T_L6[],HELP!L15,1))))))),"")</f>
        <v>Peanut Butter, Tahini</v>
      </c>
      <c r="Z19" t="str">
        <f ca="1">IFERROR(INDEX(T_L1[LIST 1],HELP!G15),"")</f>
        <v>Peanut Butter,</v>
      </c>
      <c r="AA19" t="str">
        <f ca="1">IF(Z19="","",INDEX(T_L2[LIST 2],HELP!H15))</f>
        <v>Tahini</v>
      </c>
      <c r="AB19" t="str">
        <f t="shared" ca="1" si="1"/>
        <v>Peanut Butter, - Tahini</v>
      </c>
    </row>
    <row r="20" spans="2:28" x14ac:dyDescent="0.2">
      <c r="B20" t="s">
        <v>1107</v>
      </c>
      <c r="D20" t="s">
        <v>1089</v>
      </c>
      <c r="P20" s="7" t="str">
        <f ca="1">IFERROR(IF(HELP!$F16&gt;N,"",INDEX(T_L1[],HELP!G16,1)
&amp;IF(N_LISTS=1,"",I_S&amp;INDEX(T_L2[],HELP!H16,1)
&amp;IF(N_LISTS=2,"",I_S&amp;INDEX(T_L3[],HELP!I16,1)
&amp;IF(N_LISTS=3,"",I_S&amp;INDEX(T_L4[],HELP!J16,1)
&amp;IF(N_LISTS=4,"",I_S&amp;INDEX(T_L5[],HELP!K16,1)
&amp;IF(N_LISTS=5,"",I_S&amp;INDEX(T_L6[],HELP!L16,1))))))),"")</f>
        <v>Peanut Butter, Dark Chocolate</v>
      </c>
      <c r="Z20" t="str">
        <f ca="1">IFERROR(INDEX(T_L1[LIST 1],HELP!G16),"")</f>
        <v>Peanut Butter,</v>
      </c>
      <c r="AA20" t="str">
        <f ca="1">IF(Z20="","",INDEX(T_L2[LIST 2],HELP!H16))</f>
        <v>Dark Chocolate</v>
      </c>
      <c r="AB20" t="str">
        <f t="shared" ca="1" si="1"/>
        <v>Peanut Butter, - Dark Chocolate</v>
      </c>
    </row>
    <row r="21" spans="2:28" x14ac:dyDescent="0.2">
      <c r="D21" t="s">
        <v>1079</v>
      </c>
      <c r="P21" s="7" t="str">
        <f ca="1">IFERROR(IF(HELP!$F17&gt;N,"",INDEX(T_L1[],HELP!G17,1)
&amp;IF(N_LISTS=1,"",I_S&amp;INDEX(T_L2[],HELP!H17,1)
&amp;IF(N_LISTS=2,"",I_S&amp;INDEX(T_L3[],HELP!I17,1)
&amp;IF(N_LISTS=3,"",I_S&amp;INDEX(T_L4[],HELP!J17,1)
&amp;IF(N_LISTS=4,"",I_S&amp;INDEX(T_L5[],HELP!K17,1)
&amp;IF(N_LISTS=5,"",I_S&amp;INDEX(T_L6[],HELP!L17,1))))))),"")</f>
        <v>Peanut Butter, -</v>
      </c>
      <c r="Z21" t="str">
        <f ca="1">IFERROR(INDEX(T_L1[LIST 1],HELP!G17),"")</f>
        <v>Peanut Butter,</v>
      </c>
      <c r="AA21" t="str">
        <f ca="1">IF(Z21="","",INDEX(T_L2[LIST 2],HELP!H17))</f>
        <v>-</v>
      </c>
      <c r="AB21" t="str">
        <f t="shared" ca="1" si="1"/>
        <v>Peanut Butter, - -</v>
      </c>
    </row>
    <row r="22" spans="2:28" x14ac:dyDescent="0.2">
      <c r="P22" s="7" t="str">
        <f ca="1">IFERROR(IF(HELP!$F18&gt;N,"",INDEX(T_L1[],HELP!G18,1)
&amp;IF(N_LISTS=1,"",I_S&amp;INDEX(T_L2[],HELP!H18,1)
&amp;IF(N_LISTS=2,"",I_S&amp;INDEX(T_L3[],HELP!I18,1)
&amp;IF(N_LISTS=3,"",I_S&amp;INDEX(T_L4[],HELP!J18,1)
&amp;IF(N_LISTS=4,"",I_S&amp;INDEX(T_L5[],HELP!K18,1)
&amp;IF(N_LISTS=5,"",I_S&amp;INDEX(T_L6[],HELP!L18,1))))))),"")</f>
        <v>Almond Butter, Peanut Butter</v>
      </c>
      <c r="Z22" t="str">
        <f ca="1">IFERROR(INDEX(T_L1[LIST 1],HELP!G18),"")</f>
        <v>Almond Butter,</v>
      </c>
      <c r="AA22" t="str">
        <f ca="1">IF(Z22="","",INDEX(T_L2[LIST 2],HELP!H18))</f>
        <v>Peanut Butter</v>
      </c>
      <c r="AB22" t="str">
        <f t="shared" ca="1" si="1"/>
        <v>Almond Butter, - Peanut Butter</v>
      </c>
    </row>
    <row r="23" spans="2:28" x14ac:dyDescent="0.2">
      <c r="P23" s="7" t="str">
        <f ca="1">IFERROR(IF(HELP!$F19&gt;N,"",INDEX(T_L1[],HELP!G19,1)
&amp;IF(N_LISTS=1,"",I_S&amp;INDEX(T_L2[],HELP!H19,1)
&amp;IF(N_LISTS=2,"",I_S&amp;INDEX(T_L3[],HELP!I19,1)
&amp;IF(N_LISTS=3,"",I_S&amp;INDEX(T_L4[],HELP!J19,1)
&amp;IF(N_LISTS=4,"",I_S&amp;INDEX(T_L5[],HELP!K19,1)
&amp;IF(N_LISTS=5,"",I_S&amp;INDEX(T_L6[],HELP!L19,1))))))),"")</f>
        <v>Almond Butter, Almond Butter</v>
      </c>
      <c r="Z23" t="str">
        <f ca="1">IFERROR(INDEX(T_L1[LIST 1],HELP!G19),"")</f>
        <v>Almond Butter,</v>
      </c>
      <c r="AA23" t="str">
        <f ca="1">IF(Z23="","",INDEX(T_L2[LIST 2],HELP!H19))</f>
        <v>Almond Butter</v>
      </c>
      <c r="AB23" t="str">
        <f t="shared" ca="1" si="1"/>
        <v>Almond Butter, - Almond Butter</v>
      </c>
    </row>
    <row r="24" spans="2:28" x14ac:dyDescent="0.2">
      <c r="P24" s="7" t="str">
        <f ca="1">IFERROR(IF(HELP!$F20&gt;N,"",INDEX(T_L1[],HELP!G20,1)
&amp;IF(N_LISTS=1,"",I_S&amp;INDEX(T_L2[],HELP!H20,1)
&amp;IF(N_LISTS=2,"",I_S&amp;INDEX(T_L3[],HELP!I20,1)
&amp;IF(N_LISTS=3,"",I_S&amp;INDEX(T_L4[],HELP!J20,1)
&amp;IF(N_LISTS=4,"",I_S&amp;INDEX(T_L5[],HELP!K20,1)
&amp;IF(N_LISTS=5,"",I_S&amp;INDEX(T_L6[],HELP!L20,1))))))),"")</f>
        <v>Almond Butter, Cashew Butter</v>
      </c>
      <c r="Z24" t="str">
        <f ca="1">IFERROR(INDEX(T_L1[LIST 1],HELP!G20),"")</f>
        <v>Almond Butter,</v>
      </c>
      <c r="AA24" t="str">
        <f ca="1">IF(Z24="","",INDEX(T_L2[LIST 2],HELP!H20))</f>
        <v>Cashew Butter</v>
      </c>
      <c r="AB24" t="str">
        <f t="shared" ca="1" si="1"/>
        <v>Almond Butter, - Cashew Butter</v>
      </c>
    </row>
    <row r="25" spans="2:28" x14ac:dyDescent="0.2">
      <c r="P25" s="7" t="str">
        <f ca="1">IFERROR(IF(HELP!$F21&gt;N,"",INDEX(T_L1[],HELP!G21,1)
&amp;IF(N_LISTS=1,"",I_S&amp;INDEX(T_L2[],HELP!H21,1)
&amp;IF(N_LISTS=2,"",I_S&amp;INDEX(T_L3[],HELP!I21,1)
&amp;IF(N_LISTS=3,"",I_S&amp;INDEX(T_L4[],HELP!J21,1)
&amp;IF(N_LISTS=4,"",I_S&amp;INDEX(T_L5[],HELP!K21,1)
&amp;IF(N_LISTS=5,"",I_S&amp;INDEX(T_L6[],HELP!L21,1))))))),"")</f>
        <v>Almond Butter, Chia Seeds</v>
      </c>
      <c r="Z25" t="str">
        <f ca="1">IFERROR(INDEX(T_L1[LIST 1],HELP!G21),"")</f>
        <v>Almond Butter,</v>
      </c>
      <c r="AA25" t="str">
        <f ca="1">IF(Z25="","",INDEX(T_L2[LIST 2],HELP!H21))</f>
        <v>Chia Seeds</v>
      </c>
      <c r="AB25" t="str">
        <f t="shared" ca="1" si="1"/>
        <v>Almond Butter, - Chia Seeds</v>
      </c>
    </row>
    <row r="26" spans="2:28" x14ac:dyDescent="0.2">
      <c r="P26" s="7" t="str">
        <f ca="1">IFERROR(IF(HELP!$F22&gt;N,"",INDEX(T_L1[],HELP!G22,1)
&amp;IF(N_LISTS=1,"",I_S&amp;INDEX(T_L2[],HELP!H22,1)
&amp;IF(N_LISTS=2,"",I_S&amp;INDEX(T_L3[],HELP!I22,1)
&amp;IF(N_LISTS=3,"",I_S&amp;INDEX(T_L4[],HELP!J22,1)
&amp;IF(N_LISTS=4,"",I_S&amp;INDEX(T_L5[],HELP!K22,1)
&amp;IF(N_LISTS=5,"",I_S&amp;INDEX(T_L6[],HELP!L22,1))))))),"")</f>
        <v>Almond Butter, Flax Seeds</v>
      </c>
      <c r="Z26" t="str">
        <f ca="1">IFERROR(INDEX(T_L1[LIST 1],HELP!G22),"")</f>
        <v>Almond Butter,</v>
      </c>
      <c r="AA26" t="str">
        <f ca="1">IF(Z26="","",INDEX(T_L2[LIST 2],HELP!H22))</f>
        <v>Flax Seeds</v>
      </c>
      <c r="AB26" t="str">
        <f t="shared" ca="1" si="1"/>
        <v>Almond Butter, - Flax Seeds</v>
      </c>
    </row>
    <row r="27" spans="2:28" x14ac:dyDescent="0.2">
      <c r="P27" s="7" t="str">
        <f ca="1">IFERROR(IF(HELP!$F23&gt;N,"",INDEX(T_L1[],HELP!G23,1)
&amp;IF(N_LISTS=1,"",I_S&amp;INDEX(T_L2[],HELP!H23,1)
&amp;IF(N_LISTS=2,"",I_S&amp;INDEX(T_L3[],HELP!I23,1)
&amp;IF(N_LISTS=3,"",I_S&amp;INDEX(T_L4[],HELP!J23,1)
&amp;IF(N_LISTS=4,"",I_S&amp;INDEX(T_L5[],HELP!K23,1)
&amp;IF(N_LISTS=5,"",I_S&amp;INDEX(T_L6[],HELP!L23,1))))))),"")</f>
        <v>Almond Butter, Hemp Seeds</v>
      </c>
      <c r="Z27" t="str">
        <f ca="1">IFERROR(INDEX(T_L1[LIST 1],HELP!G23),"")</f>
        <v>Almond Butter,</v>
      </c>
      <c r="AA27" t="str">
        <f ca="1">IF(Z27="","",INDEX(T_L2[LIST 2],HELP!H23))</f>
        <v>Hemp Seeds</v>
      </c>
      <c r="AB27" t="str">
        <f t="shared" ca="1" si="1"/>
        <v>Almond Butter, - Hemp Seeds</v>
      </c>
    </row>
    <row r="28" spans="2:28" x14ac:dyDescent="0.2">
      <c r="P28" s="7" t="str">
        <f ca="1">IFERROR(IF(HELP!$F24&gt;N,"",INDEX(T_L1[],HELP!G24,1)
&amp;IF(N_LISTS=1,"",I_S&amp;INDEX(T_L2[],HELP!H24,1)
&amp;IF(N_LISTS=2,"",I_S&amp;INDEX(T_L3[],HELP!I24,1)
&amp;IF(N_LISTS=3,"",I_S&amp;INDEX(T_L4[],HELP!J24,1)
&amp;IF(N_LISTS=4,"",I_S&amp;INDEX(T_L5[],HELP!K24,1)
&amp;IF(N_LISTS=5,"",I_S&amp;INDEX(T_L6[],HELP!L24,1))))))),"")</f>
        <v>Almond Butter, Avocado</v>
      </c>
      <c r="Z28" t="str">
        <f ca="1">IFERROR(INDEX(T_L1[LIST 1],HELP!G24),"")</f>
        <v>Almond Butter,</v>
      </c>
      <c r="AA28" t="str">
        <f ca="1">IF(Z28="","",INDEX(T_L2[LIST 2],HELP!H24))</f>
        <v>Avocado</v>
      </c>
      <c r="AB28" t="str">
        <f t="shared" ca="1" si="1"/>
        <v>Almond Butter, - Avocado</v>
      </c>
    </row>
    <row r="29" spans="2:28" x14ac:dyDescent="0.2">
      <c r="P29" s="7" t="str">
        <f ca="1">IFERROR(IF(HELP!$F25&gt;N,"",INDEX(T_L1[],HELP!G25,1)
&amp;IF(N_LISTS=1,"",I_S&amp;INDEX(T_L2[],HELP!H25,1)
&amp;IF(N_LISTS=2,"",I_S&amp;INDEX(T_L3[],HELP!I25,1)
&amp;IF(N_LISTS=3,"",I_S&amp;INDEX(T_L4[],HELP!J25,1)
&amp;IF(N_LISTS=4,"",I_S&amp;INDEX(T_L5[],HELP!K25,1)
&amp;IF(N_LISTS=5,"",I_S&amp;INDEX(T_L6[],HELP!L25,1))))))),"")</f>
        <v>Almond Butter, Coconut Oil</v>
      </c>
      <c r="Z29" t="str">
        <f ca="1">IFERROR(INDEX(T_L1[LIST 1],HELP!G25),"")</f>
        <v>Almond Butter,</v>
      </c>
      <c r="AA29" t="str">
        <f ca="1">IF(Z29="","",INDEX(T_L2[LIST 2],HELP!H25))</f>
        <v>Coconut Oil</v>
      </c>
      <c r="AB29" t="str">
        <f t="shared" ca="1" si="1"/>
        <v>Almond Butter, - Coconut Oil</v>
      </c>
    </row>
    <row r="30" spans="2:28" x14ac:dyDescent="0.2">
      <c r="P30" s="7" t="str">
        <f ca="1">IFERROR(IF(HELP!$F26&gt;N,"",INDEX(T_L1[],HELP!G26,1)
&amp;IF(N_LISTS=1,"",I_S&amp;INDEX(T_L2[],HELP!H26,1)
&amp;IF(N_LISTS=2,"",I_S&amp;INDEX(T_L3[],HELP!I26,1)
&amp;IF(N_LISTS=3,"",I_S&amp;INDEX(T_L4[],HELP!J26,1)
&amp;IF(N_LISTS=4,"",I_S&amp;INDEX(T_L5[],HELP!K26,1)
&amp;IF(N_LISTS=5,"",I_S&amp;INDEX(T_L6[],HELP!L26,1))))))),"")</f>
        <v>Almond Butter, MCT Oil</v>
      </c>
      <c r="Z30" t="str">
        <f ca="1">IFERROR(INDEX(T_L1[LIST 1],HELP!G26),"")</f>
        <v>Almond Butter,</v>
      </c>
      <c r="AA30" t="str">
        <f ca="1">IF(Z30="","",INDEX(T_L2[LIST 2],HELP!H26))</f>
        <v>MCT Oil</v>
      </c>
      <c r="AB30" t="str">
        <f t="shared" ca="1" si="1"/>
        <v>Almond Butter, - MCT Oil</v>
      </c>
    </row>
    <row r="31" spans="2:28" x14ac:dyDescent="0.2">
      <c r="P31" s="7" t="str">
        <f ca="1">IFERROR(IF(HELP!$F27&gt;N,"",INDEX(T_L1[],HELP!G27,1)
&amp;IF(N_LISTS=1,"",I_S&amp;INDEX(T_L2[],HELP!H27,1)
&amp;IF(N_LISTS=2,"",I_S&amp;INDEX(T_L3[],HELP!I27,1)
&amp;IF(N_LISTS=3,"",I_S&amp;INDEX(T_L4[],HELP!J27,1)
&amp;IF(N_LISTS=4,"",I_S&amp;INDEX(T_L5[],HELP!K27,1)
&amp;IF(N_LISTS=5,"",I_S&amp;INDEX(T_L6[],HELP!L27,1))))))),"")</f>
        <v>Almond Butter, Walnuts</v>
      </c>
      <c r="Z31" t="str">
        <f ca="1">IFERROR(INDEX(T_L1[LIST 1],HELP!G27),"")</f>
        <v>Almond Butter,</v>
      </c>
      <c r="AA31" t="str">
        <f ca="1">IF(Z31="","",INDEX(T_L2[LIST 2],HELP!H27))</f>
        <v>Walnuts</v>
      </c>
      <c r="AB31" t="str">
        <f t="shared" ca="1" si="1"/>
        <v>Almond Butter, - Walnuts</v>
      </c>
    </row>
    <row r="32" spans="2:28" x14ac:dyDescent="0.2">
      <c r="P32" s="7" t="str">
        <f ca="1">IFERROR(IF(HELP!$F28&gt;N,"",INDEX(T_L1[],HELP!G28,1)
&amp;IF(N_LISTS=1,"",I_S&amp;INDEX(T_L2[],HELP!H28,1)
&amp;IF(N_LISTS=2,"",I_S&amp;INDEX(T_L3[],HELP!I28,1)
&amp;IF(N_LISTS=3,"",I_S&amp;INDEX(T_L4[],HELP!J28,1)
&amp;IF(N_LISTS=4,"",I_S&amp;INDEX(T_L5[],HELP!K28,1)
&amp;IF(N_LISTS=5,"",I_S&amp;INDEX(T_L6[],HELP!L28,1))))))),"")</f>
        <v>Almond Butter, Pecans</v>
      </c>
      <c r="Z32" t="str">
        <f ca="1">IFERROR(INDEX(T_L1[LIST 1],HELP!G28),"")</f>
        <v>Almond Butter,</v>
      </c>
      <c r="AA32" t="str">
        <f ca="1">IF(Z32="","",INDEX(T_L2[LIST 2],HELP!H28))</f>
        <v>Pecans</v>
      </c>
      <c r="AB32" t="str">
        <f t="shared" ca="1" si="1"/>
        <v>Almond Butter, - Pecans</v>
      </c>
    </row>
    <row r="33" spans="16:28" x14ac:dyDescent="0.2">
      <c r="P33" s="7" t="str">
        <f ca="1">IFERROR(IF(HELP!$F29&gt;N,"",INDEX(T_L1[],HELP!G29,1)
&amp;IF(N_LISTS=1,"",I_S&amp;INDEX(T_L2[],HELP!H29,1)
&amp;IF(N_LISTS=2,"",I_S&amp;INDEX(T_L3[],HELP!I29,1)
&amp;IF(N_LISTS=3,"",I_S&amp;INDEX(T_L4[],HELP!J29,1)
&amp;IF(N_LISTS=4,"",I_S&amp;INDEX(T_L5[],HELP!K29,1)
&amp;IF(N_LISTS=5,"",I_S&amp;INDEX(T_L6[],HELP!L29,1))))))),"")</f>
        <v>Almond Butter, Macadamia Nuts</v>
      </c>
      <c r="Z33" t="str">
        <f ca="1">IFERROR(INDEX(T_L1[LIST 1],HELP!G29),"")</f>
        <v>Almond Butter,</v>
      </c>
      <c r="AA33" t="str">
        <f ca="1">IF(Z33="","",INDEX(T_L2[LIST 2],HELP!H29))</f>
        <v>Macadamia Nuts</v>
      </c>
      <c r="AB33" t="str">
        <f t="shared" ca="1" si="1"/>
        <v>Almond Butter, - Macadamia Nuts</v>
      </c>
    </row>
    <row r="34" spans="16:28" x14ac:dyDescent="0.2">
      <c r="P34" s="7" t="str">
        <f ca="1">IFERROR(IF(HELP!$F30&gt;N,"",INDEX(T_L1[],HELP!G30,1)
&amp;IF(N_LISTS=1,"",I_S&amp;INDEX(T_L2[],HELP!H30,1)
&amp;IF(N_LISTS=2,"",I_S&amp;INDEX(T_L3[],HELP!I30,1)
&amp;IF(N_LISTS=3,"",I_S&amp;INDEX(T_L4[],HELP!J30,1)
&amp;IF(N_LISTS=4,"",I_S&amp;INDEX(T_L5[],HELP!K30,1)
&amp;IF(N_LISTS=5,"",I_S&amp;INDEX(T_L6[],HELP!L30,1))))))),"")</f>
        <v>Almond Butter, Tahini</v>
      </c>
      <c r="Z34" t="str">
        <f ca="1">IFERROR(INDEX(T_L1[LIST 1],HELP!G30),"")</f>
        <v>Almond Butter,</v>
      </c>
      <c r="AA34" t="str">
        <f ca="1">IF(Z34="","",INDEX(T_L2[LIST 2],HELP!H30))</f>
        <v>Tahini</v>
      </c>
      <c r="AB34" t="str">
        <f t="shared" ca="1" si="1"/>
        <v>Almond Butter, - Tahini</v>
      </c>
    </row>
    <row r="35" spans="16:28" x14ac:dyDescent="0.2">
      <c r="P35" s="7" t="str">
        <f ca="1">IFERROR(IF(HELP!$F31&gt;N,"",INDEX(T_L1[],HELP!G31,1)
&amp;IF(N_LISTS=1,"",I_S&amp;INDEX(T_L2[],HELP!H31,1)
&amp;IF(N_LISTS=2,"",I_S&amp;INDEX(T_L3[],HELP!I31,1)
&amp;IF(N_LISTS=3,"",I_S&amp;INDEX(T_L4[],HELP!J31,1)
&amp;IF(N_LISTS=4,"",I_S&amp;INDEX(T_L5[],HELP!K31,1)
&amp;IF(N_LISTS=5,"",I_S&amp;INDEX(T_L6[],HELP!L31,1))))))),"")</f>
        <v>Almond Butter, Dark Chocolate</v>
      </c>
      <c r="Z35" t="str">
        <f ca="1">IFERROR(INDEX(T_L1[LIST 1],HELP!G31),"")</f>
        <v>Almond Butter,</v>
      </c>
      <c r="AA35" t="str">
        <f ca="1">IF(Z35="","",INDEX(T_L2[LIST 2],HELP!H31))</f>
        <v>Dark Chocolate</v>
      </c>
      <c r="AB35" t="str">
        <f t="shared" ca="1" si="1"/>
        <v>Almond Butter, - Dark Chocolate</v>
      </c>
    </row>
    <row r="36" spans="16:28" x14ac:dyDescent="0.2">
      <c r="P36" s="7" t="str">
        <f ca="1">IFERROR(IF(HELP!$F32&gt;N,"",INDEX(T_L1[],HELP!G32,1)
&amp;IF(N_LISTS=1,"",I_S&amp;INDEX(T_L2[],HELP!H32,1)
&amp;IF(N_LISTS=2,"",I_S&amp;INDEX(T_L3[],HELP!I32,1)
&amp;IF(N_LISTS=3,"",I_S&amp;INDEX(T_L4[],HELP!J32,1)
&amp;IF(N_LISTS=4,"",I_S&amp;INDEX(T_L5[],HELP!K32,1)
&amp;IF(N_LISTS=5,"",I_S&amp;INDEX(T_L6[],HELP!L32,1))))))),"")</f>
        <v>Almond Butter, -</v>
      </c>
      <c r="Z36" t="str">
        <f ca="1">IFERROR(INDEX(T_L1[LIST 1],HELP!G32),"")</f>
        <v>Almond Butter,</v>
      </c>
      <c r="AA36" t="str">
        <f ca="1">IF(Z36="","",INDEX(T_L2[LIST 2],HELP!H32))</f>
        <v>-</v>
      </c>
      <c r="AB36" t="str">
        <f t="shared" ca="1" si="1"/>
        <v>Almond Butter, - -</v>
      </c>
    </row>
    <row r="37" spans="16:28" x14ac:dyDescent="0.2">
      <c r="P37" s="7" t="str">
        <f ca="1">IFERROR(IF(HELP!$F33&gt;N,"",INDEX(T_L1[],HELP!G33,1)
&amp;IF(N_LISTS=1,"",I_S&amp;INDEX(T_L2[],HELP!H33,1)
&amp;IF(N_LISTS=2,"",I_S&amp;INDEX(T_L3[],HELP!I33,1)
&amp;IF(N_LISTS=3,"",I_S&amp;INDEX(T_L4[],HELP!J33,1)
&amp;IF(N_LISTS=4,"",I_S&amp;INDEX(T_L5[],HELP!K33,1)
&amp;IF(N_LISTS=5,"",I_S&amp;INDEX(T_L6[],HELP!L33,1))))))),"")</f>
        <v>Cashew Butter, Peanut Butter</v>
      </c>
      <c r="Z37" t="str">
        <f ca="1">IFERROR(INDEX(T_L1[LIST 1],HELP!G33),"")</f>
        <v>Cashew Butter,</v>
      </c>
      <c r="AA37" t="str">
        <f ca="1">IF(Z37="","",INDEX(T_L2[LIST 2],HELP!H33))</f>
        <v>Peanut Butter</v>
      </c>
      <c r="AB37" t="str">
        <f t="shared" ref="AB37:AB100" ca="1" si="2">Z37&amp;" - "&amp;AA37</f>
        <v>Cashew Butter, - Peanut Butter</v>
      </c>
    </row>
    <row r="38" spans="16:28" x14ac:dyDescent="0.2">
      <c r="P38" s="7" t="str">
        <f ca="1">IFERROR(IF(HELP!$F34&gt;N,"",INDEX(T_L1[],HELP!G34,1)
&amp;IF(N_LISTS=1,"",I_S&amp;INDEX(T_L2[],HELP!H34,1)
&amp;IF(N_LISTS=2,"",I_S&amp;INDEX(T_L3[],HELP!I34,1)
&amp;IF(N_LISTS=3,"",I_S&amp;INDEX(T_L4[],HELP!J34,1)
&amp;IF(N_LISTS=4,"",I_S&amp;INDEX(T_L5[],HELP!K34,1)
&amp;IF(N_LISTS=5,"",I_S&amp;INDEX(T_L6[],HELP!L34,1))))))),"")</f>
        <v>Cashew Butter, Almond Butter</v>
      </c>
      <c r="Z38" t="str">
        <f ca="1">IFERROR(INDEX(T_L1[LIST 1],HELP!G34),"")</f>
        <v>Cashew Butter,</v>
      </c>
      <c r="AA38" t="str">
        <f ca="1">IF(Z38="","",INDEX(T_L2[LIST 2],HELP!H34))</f>
        <v>Almond Butter</v>
      </c>
      <c r="AB38" t="str">
        <f t="shared" ca="1" si="2"/>
        <v>Cashew Butter, - Almond Butter</v>
      </c>
    </row>
    <row r="39" spans="16:28" x14ac:dyDescent="0.2">
      <c r="P39" s="7" t="str">
        <f ca="1">IFERROR(IF(HELP!$F35&gt;N,"",INDEX(T_L1[],HELP!G35,1)
&amp;IF(N_LISTS=1,"",I_S&amp;INDEX(T_L2[],HELP!H35,1)
&amp;IF(N_LISTS=2,"",I_S&amp;INDEX(T_L3[],HELP!I35,1)
&amp;IF(N_LISTS=3,"",I_S&amp;INDEX(T_L4[],HELP!J35,1)
&amp;IF(N_LISTS=4,"",I_S&amp;INDEX(T_L5[],HELP!K35,1)
&amp;IF(N_LISTS=5,"",I_S&amp;INDEX(T_L6[],HELP!L35,1))))))),"")</f>
        <v>Cashew Butter, Cashew Butter</v>
      </c>
      <c r="Z39" t="str">
        <f ca="1">IFERROR(INDEX(T_L1[LIST 1],HELP!G35),"")</f>
        <v>Cashew Butter,</v>
      </c>
      <c r="AA39" t="str">
        <f ca="1">IF(Z39="","",INDEX(T_L2[LIST 2],HELP!H35))</f>
        <v>Cashew Butter</v>
      </c>
      <c r="AB39" t="str">
        <f t="shared" ca="1" si="2"/>
        <v>Cashew Butter, - Cashew Butter</v>
      </c>
    </row>
    <row r="40" spans="16:28" x14ac:dyDescent="0.2">
      <c r="P40" s="7" t="str">
        <f ca="1">IFERROR(IF(HELP!$F36&gt;N,"",INDEX(T_L1[],HELP!G36,1)
&amp;IF(N_LISTS=1,"",I_S&amp;INDEX(T_L2[],HELP!H36,1)
&amp;IF(N_LISTS=2,"",I_S&amp;INDEX(T_L3[],HELP!I36,1)
&amp;IF(N_LISTS=3,"",I_S&amp;INDEX(T_L4[],HELP!J36,1)
&amp;IF(N_LISTS=4,"",I_S&amp;INDEX(T_L5[],HELP!K36,1)
&amp;IF(N_LISTS=5,"",I_S&amp;INDEX(T_L6[],HELP!L36,1))))))),"")</f>
        <v>Cashew Butter, Chia Seeds</v>
      </c>
      <c r="Z40" t="str">
        <f ca="1">IFERROR(INDEX(T_L1[LIST 1],HELP!G36),"")</f>
        <v>Cashew Butter,</v>
      </c>
      <c r="AA40" t="str">
        <f ca="1">IF(Z40="","",INDEX(T_L2[LIST 2],HELP!H36))</f>
        <v>Chia Seeds</v>
      </c>
      <c r="AB40" t="str">
        <f t="shared" ca="1" si="2"/>
        <v>Cashew Butter, - Chia Seeds</v>
      </c>
    </row>
    <row r="41" spans="16:28" x14ac:dyDescent="0.2">
      <c r="P41" s="7" t="str">
        <f ca="1">IFERROR(IF(HELP!$F37&gt;N,"",INDEX(T_L1[],HELP!G37,1)
&amp;IF(N_LISTS=1,"",I_S&amp;INDEX(T_L2[],HELP!H37,1)
&amp;IF(N_LISTS=2,"",I_S&amp;INDEX(T_L3[],HELP!I37,1)
&amp;IF(N_LISTS=3,"",I_S&amp;INDEX(T_L4[],HELP!J37,1)
&amp;IF(N_LISTS=4,"",I_S&amp;INDEX(T_L5[],HELP!K37,1)
&amp;IF(N_LISTS=5,"",I_S&amp;INDEX(T_L6[],HELP!L37,1))))))),"")</f>
        <v>Cashew Butter, Flax Seeds</v>
      </c>
      <c r="Z41" t="str">
        <f ca="1">IFERROR(INDEX(T_L1[LIST 1],HELP!G37),"")</f>
        <v>Cashew Butter,</v>
      </c>
      <c r="AA41" t="str">
        <f ca="1">IF(Z41="","",INDEX(T_L2[LIST 2],HELP!H37))</f>
        <v>Flax Seeds</v>
      </c>
      <c r="AB41" t="str">
        <f t="shared" ca="1" si="2"/>
        <v>Cashew Butter, - Flax Seeds</v>
      </c>
    </row>
    <row r="42" spans="16:28" x14ac:dyDescent="0.2">
      <c r="P42" s="7" t="str">
        <f ca="1">IFERROR(IF(HELP!$F38&gt;N,"",INDEX(T_L1[],HELP!G38,1)
&amp;IF(N_LISTS=1,"",I_S&amp;INDEX(T_L2[],HELP!H38,1)
&amp;IF(N_LISTS=2,"",I_S&amp;INDEX(T_L3[],HELP!I38,1)
&amp;IF(N_LISTS=3,"",I_S&amp;INDEX(T_L4[],HELP!J38,1)
&amp;IF(N_LISTS=4,"",I_S&amp;INDEX(T_L5[],HELP!K38,1)
&amp;IF(N_LISTS=5,"",I_S&amp;INDEX(T_L6[],HELP!L38,1))))))),"")</f>
        <v>Cashew Butter, Hemp Seeds</v>
      </c>
      <c r="Z42" t="str">
        <f ca="1">IFERROR(INDEX(T_L1[LIST 1],HELP!G38),"")</f>
        <v>Cashew Butter,</v>
      </c>
      <c r="AA42" t="str">
        <f ca="1">IF(Z42="","",INDEX(T_L2[LIST 2],HELP!H38))</f>
        <v>Hemp Seeds</v>
      </c>
      <c r="AB42" t="str">
        <f t="shared" ca="1" si="2"/>
        <v>Cashew Butter, - Hemp Seeds</v>
      </c>
    </row>
    <row r="43" spans="16:28" x14ac:dyDescent="0.2">
      <c r="P43" s="7" t="str">
        <f ca="1">IFERROR(IF(HELP!$F39&gt;N,"",INDEX(T_L1[],HELP!G39,1)
&amp;IF(N_LISTS=1,"",I_S&amp;INDEX(T_L2[],HELP!H39,1)
&amp;IF(N_LISTS=2,"",I_S&amp;INDEX(T_L3[],HELP!I39,1)
&amp;IF(N_LISTS=3,"",I_S&amp;INDEX(T_L4[],HELP!J39,1)
&amp;IF(N_LISTS=4,"",I_S&amp;INDEX(T_L5[],HELP!K39,1)
&amp;IF(N_LISTS=5,"",I_S&amp;INDEX(T_L6[],HELP!L39,1))))))),"")</f>
        <v>Cashew Butter, Avocado</v>
      </c>
      <c r="Z43" t="str">
        <f ca="1">IFERROR(INDEX(T_L1[LIST 1],HELP!G39),"")</f>
        <v>Cashew Butter,</v>
      </c>
      <c r="AA43" t="str">
        <f ca="1">IF(Z43="","",INDEX(T_L2[LIST 2],HELP!H39))</f>
        <v>Avocado</v>
      </c>
      <c r="AB43" t="str">
        <f t="shared" ca="1" si="2"/>
        <v>Cashew Butter, - Avocado</v>
      </c>
    </row>
    <row r="44" spans="16:28" x14ac:dyDescent="0.2">
      <c r="P44" s="7" t="str">
        <f ca="1">IFERROR(IF(HELP!$F40&gt;N,"",INDEX(T_L1[],HELP!G40,1)
&amp;IF(N_LISTS=1,"",I_S&amp;INDEX(T_L2[],HELP!H40,1)
&amp;IF(N_LISTS=2,"",I_S&amp;INDEX(T_L3[],HELP!I40,1)
&amp;IF(N_LISTS=3,"",I_S&amp;INDEX(T_L4[],HELP!J40,1)
&amp;IF(N_LISTS=4,"",I_S&amp;INDEX(T_L5[],HELP!K40,1)
&amp;IF(N_LISTS=5,"",I_S&amp;INDEX(T_L6[],HELP!L40,1))))))),"")</f>
        <v>Cashew Butter, Coconut Oil</v>
      </c>
      <c r="Z44" t="str">
        <f ca="1">IFERROR(INDEX(T_L1[LIST 1],HELP!G40),"")</f>
        <v>Cashew Butter,</v>
      </c>
      <c r="AA44" t="str">
        <f ca="1">IF(Z44="","",INDEX(T_L2[LIST 2],HELP!H40))</f>
        <v>Coconut Oil</v>
      </c>
      <c r="AB44" t="str">
        <f t="shared" ca="1" si="2"/>
        <v>Cashew Butter, - Coconut Oil</v>
      </c>
    </row>
    <row r="45" spans="16:28" x14ac:dyDescent="0.2">
      <c r="P45" s="7" t="str">
        <f ca="1">IFERROR(IF(HELP!$F41&gt;N,"",INDEX(T_L1[],HELP!G41,1)
&amp;IF(N_LISTS=1,"",I_S&amp;INDEX(T_L2[],HELP!H41,1)
&amp;IF(N_LISTS=2,"",I_S&amp;INDEX(T_L3[],HELP!I41,1)
&amp;IF(N_LISTS=3,"",I_S&amp;INDEX(T_L4[],HELP!J41,1)
&amp;IF(N_LISTS=4,"",I_S&amp;INDEX(T_L5[],HELP!K41,1)
&amp;IF(N_LISTS=5,"",I_S&amp;INDEX(T_L6[],HELP!L41,1))))))),"")</f>
        <v>Cashew Butter, MCT Oil</v>
      </c>
      <c r="Z45" t="str">
        <f ca="1">IFERROR(INDEX(T_L1[LIST 1],HELP!G41),"")</f>
        <v>Cashew Butter,</v>
      </c>
      <c r="AA45" t="str">
        <f ca="1">IF(Z45="","",INDEX(T_L2[LIST 2],HELP!H41))</f>
        <v>MCT Oil</v>
      </c>
      <c r="AB45" t="str">
        <f t="shared" ca="1" si="2"/>
        <v>Cashew Butter, - MCT Oil</v>
      </c>
    </row>
    <row r="46" spans="16:28" x14ac:dyDescent="0.2">
      <c r="P46" s="7" t="str">
        <f ca="1">IFERROR(IF(HELP!$F42&gt;N,"",INDEX(T_L1[],HELP!G42,1)
&amp;IF(N_LISTS=1,"",I_S&amp;INDEX(T_L2[],HELP!H42,1)
&amp;IF(N_LISTS=2,"",I_S&amp;INDEX(T_L3[],HELP!I42,1)
&amp;IF(N_LISTS=3,"",I_S&amp;INDEX(T_L4[],HELP!J42,1)
&amp;IF(N_LISTS=4,"",I_S&amp;INDEX(T_L5[],HELP!K42,1)
&amp;IF(N_LISTS=5,"",I_S&amp;INDEX(T_L6[],HELP!L42,1))))))),"")</f>
        <v>Cashew Butter, Walnuts</v>
      </c>
      <c r="Z46" t="str">
        <f ca="1">IFERROR(INDEX(T_L1[LIST 1],HELP!G42),"")</f>
        <v>Cashew Butter,</v>
      </c>
      <c r="AA46" t="str">
        <f ca="1">IF(Z46="","",INDEX(T_L2[LIST 2],HELP!H42))</f>
        <v>Walnuts</v>
      </c>
      <c r="AB46" t="str">
        <f t="shared" ca="1" si="2"/>
        <v>Cashew Butter, - Walnuts</v>
      </c>
    </row>
    <row r="47" spans="16:28" x14ac:dyDescent="0.2">
      <c r="P47" s="7" t="str">
        <f ca="1">IFERROR(IF(HELP!$F43&gt;N,"",INDEX(T_L1[],HELP!G43,1)
&amp;IF(N_LISTS=1,"",I_S&amp;INDEX(T_L2[],HELP!H43,1)
&amp;IF(N_LISTS=2,"",I_S&amp;INDEX(T_L3[],HELP!I43,1)
&amp;IF(N_LISTS=3,"",I_S&amp;INDEX(T_L4[],HELP!J43,1)
&amp;IF(N_LISTS=4,"",I_S&amp;INDEX(T_L5[],HELP!K43,1)
&amp;IF(N_LISTS=5,"",I_S&amp;INDEX(T_L6[],HELP!L43,1))))))),"")</f>
        <v>Cashew Butter, Pecans</v>
      </c>
      <c r="Z47" t="str">
        <f ca="1">IFERROR(INDEX(T_L1[LIST 1],HELP!G43),"")</f>
        <v>Cashew Butter,</v>
      </c>
      <c r="AA47" t="str">
        <f ca="1">IF(Z47="","",INDEX(T_L2[LIST 2],HELP!H43))</f>
        <v>Pecans</v>
      </c>
      <c r="AB47" t="str">
        <f t="shared" ca="1" si="2"/>
        <v>Cashew Butter, - Pecans</v>
      </c>
    </row>
    <row r="48" spans="16:28" x14ac:dyDescent="0.2">
      <c r="P48" s="7" t="str">
        <f ca="1">IFERROR(IF(HELP!$F44&gt;N,"",INDEX(T_L1[],HELP!G44,1)
&amp;IF(N_LISTS=1,"",I_S&amp;INDEX(T_L2[],HELP!H44,1)
&amp;IF(N_LISTS=2,"",I_S&amp;INDEX(T_L3[],HELP!I44,1)
&amp;IF(N_LISTS=3,"",I_S&amp;INDEX(T_L4[],HELP!J44,1)
&amp;IF(N_LISTS=4,"",I_S&amp;INDEX(T_L5[],HELP!K44,1)
&amp;IF(N_LISTS=5,"",I_S&amp;INDEX(T_L6[],HELP!L44,1))))))),"")</f>
        <v>Cashew Butter, Macadamia Nuts</v>
      </c>
      <c r="Z48" t="str">
        <f ca="1">IFERROR(INDEX(T_L1[LIST 1],HELP!G44),"")</f>
        <v>Cashew Butter,</v>
      </c>
      <c r="AA48" t="str">
        <f ca="1">IF(Z48="","",INDEX(T_L2[LIST 2],HELP!H44))</f>
        <v>Macadamia Nuts</v>
      </c>
      <c r="AB48" t="str">
        <f t="shared" ca="1" si="2"/>
        <v>Cashew Butter, - Macadamia Nuts</v>
      </c>
    </row>
    <row r="49" spans="16:28" x14ac:dyDescent="0.2">
      <c r="P49" s="7" t="str">
        <f ca="1">IFERROR(IF(HELP!$F45&gt;N,"",INDEX(T_L1[],HELP!G45,1)
&amp;IF(N_LISTS=1,"",I_S&amp;INDEX(T_L2[],HELP!H45,1)
&amp;IF(N_LISTS=2,"",I_S&amp;INDEX(T_L3[],HELP!I45,1)
&amp;IF(N_LISTS=3,"",I_S&amp;INDEX(T_L4[],HELP!J45,1)
&amp;IF(N_LISTS=4,"",I_S&amp;INDEX(T_L5[],HELP!K45,1)
&amp;IF(N_LISTS=5,"",I_S&amp;INDEX(T_L6[],HELP!L45,1))))))),"")</f>
        <v>Cashew Butter, Tahini</v>
      </c>
      <c r="Z49" t="str">
        <f ca="1">IFERROR(INDEX(T_L1[LIST 1],HELP!G45),"")</f>
        <v>Cashew Butter,</v>
      </c>
      <c r="AA49" t="str">
        <f ca="1">IF(Z49="","",INDEX(T_L2[LIST 2],HELP!H45))</f>
        <v>Tahini</v>
      </c>
      <c r="AB49" t="str">
        <f t="shared" ca="1" si="2"/>
        <v>Cashew Butter, - Tahini</v>
      </c>
    </row>
    <row r="50" spans="16:28" x14ac:dyDescent="0.2">
      <c r="P50" s="7" t="str">
        <f ca="1">IFERROR(IF(HELP!$F46&gt;N,"",INDEX(T_L1[],HELP!G46,1)
&amp;IF(N_LISTS=1,"",I_S&amp;INDEX(T_L2[],HELP!H46,1)
&amp;IF(N_LISTS=2,"",I_S&amp;INDEX(T_L3[],HELP!I46,1)
&amp;IF(N_LISTS=3,"",I_S&amp;INDEX(T_L4[],HELP!J46,1)
&amp;IF(N_LISTS=4,"",I_S&amp;INDEX(T_L5[],HELP!K46,1)
&amp;IF(N_LISTS=5,"",I_S&amp;INDEX(T_L6[],HELP!L46,1))))))),"")</f>
        <v>Cashew Butter, Dark Chocolate</v>
      </c>
      <c r="Z50" t="str">
        <f ca="1">IFERROR(INDEX(T_L1[LIST 1],HELP!G46),"")</f>
        <v>Cashew Butter,</v>
      </c>
      <c r="AA50" t="str">
        <f ca="1">IF(Z50="","",INDEX(T_L2[LIST 2],HELP!H46))</f>
        <v>Dark Chocolate</v>
      </c>
      <c r="AB50" t="str">
        <f t="shared" ca="1" si="2"/>
        <v>Cashew Butter, - Dark Chocolate</v>
      </c>
    </row>
    <row r="51" spans="16:28" x14ac:dyDescent="0.2">
      <c r="P51" s="7" t="str">
        <f ca="1">IFERROR(IF(HELP!$F47&gt;N,"",INDEX(T_L1[],HELP!G47,1)
&amp;IF(N_LISTS=1,"",I_S&amp;INDEX(T_L2[],HELP!H47,1)
&amp;IF(N_LISTS=2,"",I_S&amp;INDEX(T_L3[],HELP!I47,1)
&amp;IF(N_LISTS=3,"",I_S&amp;INDEX(T_L4[],HELP!J47,1)
&amp;IF(N_LISTS=4,"",I_S&amp;INDEX(T_L5[],HELP!K47,1)
&amp;IF(N_LISTS=5,"",I_S&amp;INDEX(T_L6[],HELP!L47,1))))))),"")</f>
        <v>Cashew Butter, -</v>
      </c>
      <c r="Z51" t="str">
        <f ca="1">IFERROR(INDEX(T_L1[LIST 1],HELP!G47),"")</f>
        <v>Cashew Butter,</v>
      </c>
      <c r="AA51" t="str">
        <f ca="1">IF(Z51="","",INDEX(T_L2[LIST 2],HELP!H47))</f>
        <v>-</v>
      </c>
      <c r="AB51" t="str">
        <f t="shared" ca="1" si="2"/>
        <v>Cashew Butter, - -</v>
      </c>
    </row>
    <row r="52" spans="16:28" x14ac:dyDescent="0.2">
      <c r="P52" s="7" t="str">
        <f ca="1">IFERROR(IF(HELP!$F48&gt;N,"",INDEX(T_L1[],HELP!G48,1)
&amp;IF(N_LISTS=1,"",I_S&amp;INDEX(T_L2[],HELP!H48,1)
&amp;IF(N_LISTS=2,"",I_S&amp;INDEX(T_L3[],HELP!I48,1)
&amp;IF(N_LISTS=3,"",I_S&amp;INDEX(T_L4[],HELP!J48,1)
&amp;IF(N_LISTS=4,"",I_S&amp;INDEX(T_L5[],HELP!K48,1)
&amp;IF(N_LISTS=5,"",I_S&amp;INDEX(T_L6[],HELP!L48,1))))))),"")</f>
        <v>Chia Seeds, Peanut Butter</v>
      </c>
      <c r="Z52" t="str">
        <f ca="1">IFERROR(INDEX(T_L1[LIST 1],HELP!G48),"")</f>
        <v>Chia Seeds,</v>
      </c>
      <c r="AA52" t="str">
        <f ca="1">IF(Z52="","",INDEX(T_L2[LIST 2],HELP!H48))</f>
        <v>Peanut Butter</v>
      </c>
      <c r="AB52" t="str">
        <f t="shared" ca="1" si="2"/>
        <v>Chia Seeds, - Peanut Butter</v>
      </c>
    </row>
    <row r="53" spans="16:28" x14ac:dyDescent="0.2">
      <c r="P53" s="7" t="str">
        <f ca="1">IFERROR(IF(HELP!$F49&gt;N,"",INDEX(T_L1[],HELP!G49,1)
&amp;IF(N_LISTS=1,"",I_S&amp;INDEX(T_L2[],HELP!H49,1)
&amp;IF(N_LISTS=2,"",I_S&amp;INDEX(T_L3[],HELP!I49,1)
&amp;IF(N_LISTS=3,"",I_S&amp;INDEX(T_L4[],HELP!J49,1)
&amp;IF(N_LISTS=4,"",I_S&amp;INDEX(T_L5[],HELP!K49,1)
&amp;IF(N_LISTS=5,"",I_S&amp;INDEX(T_L6[],HELP!L49,1))))))),"")</f>
        <v>Chia Seeds, Almond Butter</v>
      </c>
      <c r="Z53" t="str">
        <f ca="1">IFERROR(INDEX(T_L1[LIST 1],HELP!G49),"")</f>
        <v>Chia Seeds,</v>
      </c>
      <c r="AA53" t="str">
        <f ca="1">IF(Z53="","",INDEX(T_L2[LIST 2],HELP!H49))</f>
        <v>Almond Butter</v>
      </c>
      <c r="AB53" t="str">
        <f t="shared" ca="1" si="2"/>
        <v>Chia Seeds, - Almond Butter</v>
      </c>
    </row>
    <row r="54" spans="16:28" x14ac:dyDescent="0.2">
      <c r="P54" s="7" t="str">
        <f ca="1">IFERROR(IF(HELP!$F50&gt;N,"",INDEX(T_L1[],HELP!G50,1)
&amp;IF(N_LISTS=1,"",I_S&amp;INDEX(T_L2[],HELP!H50,1)
&amp;IF(N_LISTS=2,"",I_S&amp;INDEX(T_L3[],HELP!I50,1)
&amp;IF(N_LISTS=3,"",I_S&amp;INDEX(T_L4[],HELP!J50,1)
&amp;IF(N_LISTS=4,"",I_S&amp;INDEX(T_L5[],HELP!K50,1)
&amp;IF(N_LISTS=5,"",I_S&amp;INDEX(T_L6[],HELP!L50,1))))))),"")</f>
        <v>Chia Seeds, Cashew Butter</v>
      </c>
      <c r="Z54" t="str">
        <f ca="1">IFERROR(INDEX(T_L1[LIST 1],HELP!G50),"")</f>
        <v>Chia Seeds,</v>
      </c>
      <c r="AA54" t="str">
        <f ca="1">IF(Z54="","",INDEX(T_L2[LIST 2],HELP!H50))</f>
        <v>Cashew Butter</v>
      </c>
      <c r="AB54" t="str">
        <f t="shared" ca="1" si="2"/>
        <v>Chia Seeds, - Cashew Butter</v>
      </c>
    </row>
    <row r="55" spans="16:28" x14ac:dyDescent="0.2">
      <c r="P55" s="7" t="str">
        <f ca="1">IFERROR(IF(HELP!$F51&gt;N,"",INDEX(T_L1[],HELP!G51,1)
&amp;IF(N_LISTS=1,"",I_S&amp;INDEX(T_L2[],HELP!H51,1)
&amp;IF(N_LISTS=2,"",I_S&amp;INDEX(T_L3[],HELP!I51,1)
&amp;IF(N_LISTS=3,"",I_S&amp;INDEX(T_L4[],HELP!J51,1)
&amp;IF(N_LISTS=4,"",I_S&amp;INDEX(T_L5[],HELP!K51,1)
&amp;IF(N_LISTS=5,"",I_S&amp;INDEX(T_L6[],HELP!L51,1))))))),"")</f>
        <v>Chia Seeds, Chia Seeds</v>
      </c>
      <c r="Z55" t="str">
        <f ca="1">IFERROR(INDEX(T_L1[LIST 1],HELP!G51),"")</f>
        <v>Chia Seeds,</v>
      </c>
      <c r="AA55" t="str">
        <f ca="1">IF(Z55="","",INDEX(T_L2[LIST 2],HELP!H51))</f>
        <v>Chia Seeds</v>
      </c>
      <c r="AB55" t="str">
        <f t="shared" ca="1" si="2"/>
        <v>Chia Seeds, - Chia Seeds</v>
      </c>
    </row>
    <row r="56" spans="16:28" x14ac:dyDescent="0.2">
      <c r="P56" s="7" t="str">
        <f ca="1">IFERROR(IF(HELP!$F52&gt;N,"",INDEX(T_L1[],HELP!G52,1)
&amp;IF(N_LISTS=1,"",I_S&amp;INDEX(T_L2[],HELP!H52,1)
&amp;IF(N_LISTS=2,"",I_S&amp;INDEX(T_L3[],HELP!I52,1)
&amp;IF(N_LISTS=3,"",I_S&amp;INDEX(T_L4[],HELP!J52,1)
&amp;IF(N_LISTS=4,"",I_S&amp;INDEX(T_L5[],HELP!K52,1)
&amp;IF(N_LISTS=5,"",I_S&amp;INDEX(T_L6[],HELP!L52,1))))))),"")</f>
        <v>Chia Seeds, Flax Seeds</v>
      </c>
      <c r="Z56" t="str">
        <f ca="1">IFERROR(INDEX(T_L1[LIST 1],HELP!G52),"")</f>
        <v>Chia Seeds,</v>
      </c>
      <c r="AA56" t="str">
        <f ca="1">IF(Z56="","",INDEX(T_L2[LIST 2],HELP!H52))</f>
        <v>Flax Seeds</v>
      </c>
      <c r="AB56" t="str">
        <f t="shared" ca="1" si="2"/>
        <v>Chia Seeds, - Flax Seeds</v>
      </c>
    </row>
    <row r="57" spans="16:28" x14ac:dyDescent="0.2">
      <c r="P57" s="7" t="str">
        <f ca="1">IFERROR(IF(HELP!$F53&gt;N,"",INDEX(T_L1[],HELP!G53,1)
&amp;IF(N_LISTS=1,"",I_S&amp;INDEX(T_L2[],HELP!H53,1)
&amp;IF(N_LISTS=2,"",I_S&amp;INDEX(T_L3[],HELP!I53,1)
&amp;IF(N_LISTS=3,"",I_S&amp;INDEX(T_L4[],HELP!J53,1)
&amp;IF(N_LISTS=4,"",I_S&amp;INDEX(T_L5[],HELP!K53,1)
&amp;IF(N_LISTS=5,"",I_S&amp;INDEX(T_L6[],HELP!L53,1))))))),"")</f>
        <v>Chia Seeds, Hemp Seeds</v>
      </c>
      <c r="Z57" t="str">
        <f ca="1">IFERROR(INDEX(T_L1[LIST 1],HELP!G53),"")</f>
        <v>Chia Seeds,</v>
      </c>
      <c r="AA57" t="str">
        <f ca="1">IF(Z57="","",INDEX(T_L2[LIST 2],HELP!H53))</f>
        <v>Hemp Seeds</v>
      </c>
      <c r="AB57" t="str">
        <f t="shared" ca="1" si="2"/>
        <v>Chia Seeds, - Hemp Seeds</v>
      </c>
    </row>
    <row r="58" spans="16:28" x14ac:dyDescent="0.2">
      <c r="P58" s="7" t="str">
        <f ca="1">IFERROR(IF(HELP!$F54&gt;N,"",INDEX(T_L1[],HELP!G54,1)
&amp;IF(N_LISTS=1,"",I_S&amp;INDEX(T_L2[],HELP!H54,1)
&amp;IF(N_LISTS=2,"",I_S&amp;INDEX(T_L3[],HELP!I54,1)
&amp;IF(N_LISTS=3,"",I_S&amp;INDEX(T_L4[],HELP!J54,1)
&amp;IF(N_LISTS=4,"",I_S&amp;INDEX(T_L5[],HELP!K54,1)
&amp;IF(N_LISTS=5,"",I_S&amp;INDEX(T_L6[],HELP!L54,1))))))),"")</f>
        <v>Chia Seeds, Avocado</v>
      </c>
      <c r="Z58" t="str">
        <f ca="1">IFERROR(INDEX(T_L1[LIST 1],HELP!G54),"")</f>
        <v>Chia Seeds,</v>
      </c>
      <c r="AA58" t="str">
        <f ca="1">IF(Z58="","",INDEX(T_L2[LIST 2],HELP!H54))</f>
        <v>Avocado</v>
      </c>
      <c r="AB58" t="str">
        <f t="shared" ca="1" si="2"/>
        <v>Chia Seeds, - Avocado</v>
      </c>
    </row>
    <row r="59" spans="16:28" x14ac:dyDescent="0.2">
      <c r="P59" s="7" t="str">
        <f ca="1">IFERROR(IF(HELP!$F55&gt;N,"",INDEX(T_L1[],HELP!G55,1)
&amp;IF(N_LISTS=1,"",I_S&amp;INDEX(T_L2[],HELP!H55,1)
&amp;IF(N_LISTS=2,"",I_S&amp;INDEX(T_L3[],HELP!I55,1)
&amp;IF(N_LISTS=3,"",I_S&amp;INDEX(T_L4[],HELP!J55,1)
&amp;IF(N_LISTS=4,"",I_S&amp;INDEX(T_L5[],HELP!K55,1)
&amp;IF(N_LISTS=5,"",I_S&amp;INDEX(T_L6[],HELP!L55,1))))))),"")</f>
        <v>Chia Seeds, Coconut Oil</v>
      </c>
      <c r="Z59" t="str">
        <f ca="1">IFERROR(INDEX(T_L1[LIST 1],HELP!G55),"")</f>
        <v>Chia Seeds,</v>
      </c>
      <c r="AA59" t="str">
        <f ca="1">IF(Z59="","",INDEX(T_L2[LIST 2],HELP!H55))</f>
        <v>Coconut Oil</v>
      </c>
      <c r="AB59" t="str">
        <f t="shared" ca="1" si="2"/>
        <v>Chia Seeds, - Coconut Oil</v>
      </c>
    </row>
    <row r="60" spans="16:28" x14ac:dyDescent="0.2">
      <c r="P60" s="7" t="str">
        <f ca="1">IFERROR(IF(HELP!$F56&gt;N,"",INDEX(T_L1[],HELP!G56,1)
&amp;IF(N_LISTS=1,"",I_S&amp;INDEX(T_L2[],HELP!H56,1)
&amp;IF(N_LISTS=2,"",I_S&amp;INDEX(T_L3[],HELP!I56,1)
&amp;IF(N_LISTS=3,"",I_S&amp;INDEX(T_L4[],HELP!J56,1)
&amp;IF(N_LISTS=4,"",I_S&amp;INDEX(T_L5[],HELP!K56,1)
&amp;IF(N_LISTS=5,"",I_S&amp;INDEX(T_L6[],HELP!L56,1))))))),"")</f>
        <v>Chia Seeds, MCT Oil</v>
      </c>
      <c r="Z60" t="str">
        <f ca="1">IFERROR(INDEX(T_L1[LIST 1],HELP!G56),"")</f>
        <v>Chia Seeds,</v>
      </c>
      <c r="AA60" t="str">
        <f ca="1">IF(Z60="","",INDEX(T_L2[LIST 2],HELP!H56))</f>
        <v>MCT Oil</v>
      </c>
      <c r="AB60" t="str">
        <f t="shared" ca="1" si="2"/>
        <v>Chia Seeds, - MCT Oil</v>
      </c>
    </row>
    <row r="61" spans="16:28" x14ac:dyDescent="0.2">
      <c r="P61" s="7" t="str">
        <f ca="1">IFERROR(IF(HELP!$F57&gt;N,"",INDEX(T_L1[],HELP!G57,1)
&amp;IF(N_LISTS=1,"",I_S&amp;INDEX(T_L2[],HELP!H57,1)
&amp;IF(N_LISTS=2,"",I_S&amp;INDEX(T_L3[],HELP!I57,1)
&amp;IF(N_LISTS=3,"",I_S&amp;INDEX(T_L4[],HELP!J57,1)
&amp;IF(N_LISTS=4,"",I_S&amp;INDEX(T_L5[],HELP!K57,1)
&amp;IF(N_LISTS=5,"",I_S&amp;INDEX(T_L6[],HELP!L57,1))))))),"")</f>
        <v>Chia Seeds, Walnuts</v>
      </c>
      <c r="Z61" t="str">
        <f ca="1">IFERROR(INDEX(T_L1[LIST 1],HELP!G57),"")</f>
        <v>Chia Seeds,</v>
      </c>
      <c r="AA61" t="str">
        <f ca="1">IF(Z61="","",INDEX(T_L2[LIST 2],HELP!H57))</f>
        <v>Walnuts</v>
      </c>
      <c r="AB61" t="str">
        <f t="shared" ca="1" si="2"/>
        <v>Chia Seeds, - Walnuts</v>
      </c>
    </row>
    <row r="62" spans="16:28" x14ac:dyDescent="0.2">
      <c r="P62" s="7" t="str">
        <f ca="1">IFERROR(IF(HELP!$F58&gt;N,"",INDEX(T_L1[],HELP!G58,1)
&amp;IF(N_LISTS=1,"",I_S&amp;INDEX(T_L2[],HELP!H58,1)
&amp;IF(N_LISTS=2,"",I_S&amp;INDEX(T_L3[],HELP!I58,1)
&amp;IF(N_LISTS=3,"",I_S&amp;INDEX(T_L4[],HELP!J58,1)
&amp;IF(N_LISTS=4,"",I_S&amp;INDEX(T_L5[],HELP!K58,1)
&amp;IF(N_LISTS=5,"",I_S&amp;INDEX(T_L6[],HELP!L58,1))))))),"")</f>
        <v>Chia Seeds, Pecans</v>
      </c>
      <c r="Z62" t="str">
        <f ca="1">IFERROR(INDEX(T_L1[LIST 1],HELP!G58),"")</f>
        <v>Chia Seeds,</v>
      </c>
      <c r="AA62" t="str">
        <f ca="1">IF(Z62="","",INDEX(T_L2[LIST 2],HELP!H58))</f>
        <v>Pecans</v>
      </c>
      <c r="AB62" t="str">
        <f t="shared" ca="1" si="2"/>
        <v>Chia Seeds, - Pecans</v>
      </c>
    </row>
    <row r="63" spans="16:28" x14ac:dyDescent="0.2">
      <c r="P63" s="7" t="str">
        <f ca="1">IFERROR(IF(HELP!$F59&gt;N,"",INDEX(T_L1[],HELP!G59,1)
&amp;IF(N_LISTS=1,"",I_S&amp;INDEX(T_L2[],HELP!H59,1)
&amp;IF(N_LISTS=2,"",I_S&amp;INDEX(T_L3[],HELP!I59,1)
&amp;IF(N_LISTS=3,"",I_S&amp;INDEX(T_L4[],HELP!J59,1)
&amp;IF(N_LISTS=4,"",I_S&amp;INDEX(T_L5[],HELP!K59,1)
&amp;IF(N_LISTS=5,"",I_S&amp;INDEX(T_L6[],HELP!L59,1))))))),"")</f>
        <v>Chia Seeds, Macadamia Nuts</v>
      </c>
      <c r="Z63" t="str">
        <f ca="1">IFERROR(INDEX(T_L1[LIST 1],HELP!G59),"")</f>
        <v>Chia Seeds,</v>
      </c>
      <c r="AA63" t="str">
        <f ca="1">IF(Z63="","",INDEX(T_L2[LIST 2],HELP!H59))</f>
        <v>Macadamia Nuts</v>
      </c>
      <c r="AB63" t="str">
        <f t="shared" ca="1" si="2"/>
        <v>Chia Seeds, - Macadamia Nuts</v>
      </c>
    </row>
    <row r="64" spans="16:28" x14ac:dyDescent="0.2">
      <c r="P64" s="7" t="str">
        <f ca="1">IFERROR(IF(HELP!$F60&gt;N,"",INDEX(T_L1[],HELP!G60,1)
&amp;IF(N_LISTS=1,"",I_S&amp;INDEX(T_L2[],HELP!H60,1)
&amp;IF(N_LISTS=2,"",I_S&amp;INDEX(T_L3[],HELP!I60,1)
&amp;IF(N_LISTS=3,"",I_S&amp;INDEX(T_L4[],HELP!J60,1)
&amp;IF(N_LISTS=4,"",I_S&amp;INDEX(T_L5[],HELP!K60,1)
&amp;IF(N_LISTS=5,"",I_S&amp;INDEX(T_L6[],HELP!L60,1))))))),"")</f>
        <v>Chia Seeds, Tahini</v>
      </c>
      <c r="Z64" t="str">
        <f ca="1">IFERROR(INDEX(T_L1[LIST 1],HELP!G60),"")</f>
        <v>Chia Seeds,</v>
      </c>
      <c r="AA64" t="str">
        <f ca="1">IF(Z64="","",INDEX(T_L2[LIST 2],HELP!H60))</f>
        <v>Tahini</v>
      </c>
      <c r="AB64" t="str">
        <f t="shared" ca="1" si="2"/>
        <v>Chia Seeds, - Tahini</v>
      </c>
    </row>
    <row r="65" spans="16:28" x14ac:dyDescent="0.2">
      <c r="P65" s="7" t="str">
        <f ca="1">IFERROR(IF(HELP!$F61&gt;N,"",INDEX(T_L1[],HELP!G61,1)
&amp;IF(N_LISTS=1,"",I_S&amp;INDEX(T_L2[],HELP!H61,1)
&amp;IF(N_LISTS=2,"",I_S&amp;INDEX(T_L3[],HELP!I61,1)
&amp;IF(N_LISTS=3,"",I_S&amp;INDEX(T_L4[],HELP!J61,1)
&amp;IF(N_LISTS=4,"",I_S&amp;INDEX(T_L5[],HELP!K61,1)
&amp;IF(N_LISTS=5,"",I_S&amp;INDEX(T_L6[],HELP!L61,1))))))),"")</f>
        <v>Chia Seeds, Dark Chocolate</v>
      </c>
      <c r="Z65" t="str">
        <f ca="1">IFERROR(INDEX(T_L1[LIST 1],HELP!G61),"")</f>
        <v>Chia Seeds,</v>
      </c>
      <c r="AA65" t="str">
        <f ca="1">IF(Z65="","",INDEX(T_L2[LIST 2],HELP!H61))</f>
        <v>Dark Chocolate</v>
      </c>
      <c r="AB65" t="str">
        <f t="shared" ca="1" si="2"/>
        <v>Chia Seeds, - Dark Chocolate</v>
      </c>
    </row>
    <row r="66" spans="16:28" x14ac:dyDescent="0.2">
      <c r="P66" s="7" t="str">
        <f ca="1">IFERROR(IF(HELP!$F62&gt;N,"",INDEX(T_L1[],HELP!G62,1)
&amp;IF(N_LISTS=1,"",I_S&amp;INDEX(T_L2[],HELP!H62,1)
&amp;IF(N_LISTS=2,"",I_S&amp;INDEX(T_L3[],HELP!I62,1)
&amp;IF(N_LISTS=3,"",I_S&amp;INDEX(T_L4[],HELP!J62,1)
&amp;IF(N_LISTS=4,"",I_S&amp;INDEX(T_L5[],HELP!K62,1)
&amp;IF(N_LISTS=5,"",I_S&amp;INDEX(T_L6[],HELP!L62,1))))))),"")</f>
        <v>Chia Seeds, -</v>
      </c>
      <c r="Z66" t="str">
        <f ca="1">IFERROR(INDEX(T_L1[LIST 1],HELP!G62),"")</f>
        <v>Chia Seeds,</v>
      </c>
      <c r="AA66" t="str">
        <f ca="1">IF(Z66="","",INDEX(T_L2[LIST 2],HELP!H62))</f>
        <v>-</v>
      </c>
      <c r="AB66" t="str">
        <f t="shared" ca="1" si="2"/>
        <v>Chia Seeds, - -</v>
      </c>
    </row>
    <row r="67" spans="16:28" x14ac:dyDescent="0.2">
      <c r="P67" s="7" t="str">
        <f ca="1">IFERROR(IF(HELP!$F63&gt;N,"",INDEX(T_L1[],HELP!G63,1)
&amp;IF(N_LISTS=1,"",I_S&amp;INDEX(T_L2[],HELP!H63,1)
&amp;IF(N_LISTS=2,"",I_S&amp;INDEX(T_L3[],HELP!I63,1)
&amp;IF(N_LISTS=3,"",I_S&amp;INDEX(T_L4[],HELP!J63,1)
&amp;IF(N_LISTS=4,"",I_S&amp;INDEX(T_L5[],HELP!K63,1)
&amp;IF(N_LISTS=5,"",I_S&amp;INDEX(T_L6[],HELP!L63,1))))))),"")</f>
        <v>Flax Seeds, Peanut Butter</v>
      </c>
      <c r="Z67" t="str">
        <f ca="1">IFERROR(INDEX(T_L1[LIST 1],HELP!G63),"")</f>
        <v>Flax Seeds,</v>
      </c>
      <c r="AA67" t="str">
        <f ca="1">IF(Z67="","",INDEX(T_L2[LIST 2],HELP!H63))</f>
        <v>Peanut Butter</v>
      </c>
      <c r="AB67" t="str">
        <f t="shared" ca="1" si="2"/>
        <v>Flax Seeds, - Peanut Butter</v>
      </c>
    </row>
    <row r="68" spans="16:28" x14ac:dyDescent="0.2">
      <c r="P68" s="7" t="str">
        <f ca="1">IFERROR(IF(HELP!$F64&gt;N,"",INDEX(T_L1[],HELP!G64,1)
&amp;IF(N_LISTS=1,"",I_S&amp;INDEX(T_L2[],HELP!H64,1)
&amp;IF(N_LISTS=2,"",I_S&amp;INDEX(T_L3[],HELP!I64,1)
&amp;IF(N_LISTS=3,"",I_S&amp;INDEX(T_L4[],HELP!J64,1)
&amp;IF(N_LISTS=4,"",I_S&amp;INDEX(T_L5[],HELP!K64,1)
&amp;IF(N_LISTS=5,"",I_S&amp;INDEX(T_L6[],HELP!L64,1))))))),"")</f>
        <v>Flax Seeds, Almond Butter</v>
      </c>
      <c r="Z68" t="str">
        <f ca="1">IFERROR(INDEX(T_L1[LIST 1],HELP!G64),"")</f>
        <v>Flax Seeds,</v>
      </c>
      <c r="AA68" t="str">
        <f ca="1">IF(Z68="","",INDEX(T_L2[LIST 2],HELP!H64))</f>
        <v>Almond Butter</v>
      </c>
      <c r="AB68" t="str">
        <f t="shared" ca="1" si="2"/>
        <v>Flax Seeds, - Almond Butter</v>
      </c>
    </row>
    <row r="69" spans="16:28" x14ac:dyDescent="0.2">
      <c r="P69" s="7" t="str">
        <f ca="1">IFERROR(IF(HELP!$F65&gt;N,"",INDEX(T_L1[],HELP!G65,1)
&amp;IF(N_LISTS=1,"",I_S&amp;INDEX(T_L2[],HELP!H65,1)
&amp;IF(N_LISTS=2,"",I_S&amp;INDEX(T_L3[],HELP!I65,1)
&amp;IF(N_LISTS=3,"",I_S&amp;INDEX(T_L4[],HELP!J65,1)
&amp;IF(N_LISTS=4,"",I_S&amp;INDEX(T_L5[],HELP!K65,1)
&amp;IF(N_LISTS=5,"",I_S&amp;INDEX(T_L6[],HELP!L65,1))))))),"")</f>
        <v>Flax Seeds, Cashew Butter</v>
      </c>
      <c r="Z69" t="str">
        <f ca="1">IFERROR(INDEX(T_L1[LIST 1],HELP!G65),"")</f>
        <v>Flax Seeds,</v>
      </c>
      <c r="AA69" t="str">
        <f ca="1">IF(Z69="","",INDEX(T_L2[LIST 2],HELP!H65))</f>
        <v>Cashew Butter</v>
      </c>
      <c r="AB69" t="str">
        <f t="shared" ca="1" si="2"/>
        <v>Flax Seeds, - Cashew Butter</v>
      </c>
    </row>
    <row r="70" spans="16:28" x14ac:dyDescent="0.2">
      <c r="P70" s="7" t="str">
        <f ca="1">IFERROR(IF(HELP!$F66&gt;N,"",INDEX(T_L1[],HELP!G66,1)
&amp;IF(N_LISTS=1,"",I_S&amp;INDEX(T_L2[],HELP!H66,1)
&amp;IF(N_LISTS=2,"",I_S&amp;INDEX(T_L3[],HELP!I66,1)
&amp;IF(N_LISTS=3,"",I_S&amp;INDEX(T_L4[],HELP!J66,1)
&amp;IF(N_LISTS=4,"",I_S&amp;INDEX(T_L5[],HELP!K66,1)
&amp;IF(N_LISTS=5,"",I_S&amp;INDEX(T_L6[],HELP!L66,1))))))),"")</f>
        <v>Flax Seeds, Chia Seeds</v>
      </c>
      <c r="Z70" t="str">
        <f ca="1">IFERROR(INDEX(T_L1[LIST 1],HELP!G66),"")</f>
        <v>Flax Seeds,</v>
      </c>
      <c r="AA70" t="str">
        <f ca="1">IF(Z70="","",INDEX(T_L2[LIST 2],HELP!H66))</f>
        <v>Chia Seeds</v>
      </c>
      <c r="AB70" t="str">
        <f t="shared" ca="1" si="2"/>
        <v>Flax Seeds, - Chia Seeds</v>
      </c>
    </row>
    <row r="71" spans="16:28" x14ac:dyDescent="0.2">
      <c r="P71" s="7" t="str">
        <f ca="1">IFERROR(IF(HELP!$F67&gt;N,"",INDEX(T_L1[],HELP!G67,1)
&amp;IF(N_LISTS=1,"",I_S&amp;INDEX(T_L2[],HELP!H67,1)
&amp;IF(N_LISTS=2,"",I_S&amp;INDEX(T_L3[],HELP!I67,1)
&amp;IF(N_LISTS=3,"",I_S&amp;INDEX(T_L4[],HELP!J67,1)
&amp;IF(N_LISTS=4,"",I_S&amp;INDEX(T_L5[],HELP!K67,1)
&amp;IF(N_LISTS=5,"",I_S&amp;INDEX(T_L6[],HELP!L67,1))))))),"")</f>
        <v>Flax Seeds, Flax Seeds</v>
      </c>
      <c r="Z71" t="str">
        <f ca="1">IFERROR(INDEX(T_L1[LIST 1],HELP!G67),"")</f>
        <v>Flax Seeds,</v>
      </c>
      <c r="AA71" t="str">
        <f ca="1">IF(Z71="","",INDEX(T_L2[LIST 2],HELP!H67))</f>
        <v>Flax Seeds</v>
      </c>
      <c r="AB71" t="str">
        <f t="shared" ca="1" si="2"/>
        <v>Flax Seeds, - Flax Seeds</v>
      </c>
    </row>
    <row r="72" spans="16:28" x14ac:dyDescent="0.2">
      <c r="P72" s="7" t="str">
        <f ca="1">IFERROR(IF(HELP!$F68&gt;N,"",INDEX(T_L1[],HELP!G68,1)
&amp;IF(N_LISTS=1,"",I_S&amp;INDEX(T_L2[],HELP!H68,1)
&amp;IF(N_LISTS=2,"",I_S&amp;INDEX(T_L3[],HELP!I68,1)
&amp;IF(N_LISTS=3,"",I_S&amp;INDEX(T_L4[],HELP!J68,1)
&amp;IF(N_LISTS=4,"",I_S&amp;INDEX(T_L5[],HELP!K68,1)
&amp;IF(N_LISTS=5,"",I_S&amp;INDEX(T_L6[],HELP!L68,1))))))),"")</f>
        <v>Flax Seeds, Hemp Seeds</v>
      </c>
      <c r="Z72" t="str">
        <f ca="1">IFERROR(INDEX(T_L1[LIST 1],HELP!G68),"")</f>
        <v>Flax Seeds,</v>
      </c>
      <c r="AA72" t="str">
        <f ca="1">IF(Z72="","",INDEX(T_L2[LIST 2],HELP!H68))</f>
        <v>Hemp Seeds</v>
      </c>
      <c r="AB72" t="str">
        <f t="shared" ca="1" si="2"/>
        <v>Flax Seeds, - Hemp Seeds</v>
      </c>
    </row>
    <row r="73" spans="16:28" x14ac:dyDescent="0.2">
      <c r="P73" s="7" t="str">
        <f ca="1">IFERROR(IF(HELP!$F69&gt;N,"",INDEX(T_L1[],HELP!G69,1)
&amp;IF(N_LISTS=1,"",I_S&amp;INDEX(T_L2[],HELP!H69,1)
&amp;IF(N_LISTS=2,"",I_S&amp;INDEX(T_L3[],HELP!I69,1)
&amp;IF(N_LISTS=3,"",I_S&amp;INDEX(T_L4[],HELP!J69,1)
&amp;IF(N_LISTS=4,"",I_S&amp;INDEX(T_L5[],HELP!K69,1)
&amp;IF(N_LISTS=5,"",I_S&amp;INDEX(T_L6[],HELP!L69,1))))))),"")</f>
        <v>Flax Seeds, Avocado</v>
      </c>
      <c r="Z73" t="str">
        <f ca="1">IFERROR(INDEX(T_L1[LIST 1],HELP!G69),"")</f>
        <v>Flax Seeds,</v>
      </c>
      <c r="AA73" t="str">
        <f ca="1">IF(Z73="","",INDEX(T_L2[LIST 2],HELP!H69))</f>
        <v>Avocado</v>
      </c>
      <c r="AB73" t="str">
        <f t="shared" ca="1" si="2"/>
        <v>Flax Seeds, - Avocado</v>
      </c>
    </row>
    <row r="74" spans="16:28" x14ac:dyDescent="0.2">
      <c r="P74" s="7" t="str">
        <f ca="1">IFERROR(IF(HELP!$F70&gt;N,"",INDEX(T_L1[],HELP!G70,1)
&amp;IF(N_LISTS=1,"",I_S&amp;INDEX(T_L2[],HELP!H70,1)
&amp;IF(N_LISTS=2,"",I_S&amp;INDEX(T_L3[],HELP!I70,1)
&amp;IF(N_LISTS=3,"",I_S&amp;INDEX(T_L4[],HELP!J70,1)
&amp;IF(N_LISTS=4,"",I_S&amp;INDEX(T_L5[],HELP!K70,1)
&amp;IF(N_LISTS=5,"",I_S&amp;INDEX(T_L6[],HELP!L70,1))))))),"")</f>
        <v>Flax Seeds, Coconut Oil</v>
      </c>
      <c r="Z74" t="str">
        <f ca="1">IFERROR(INDEX(T_L1[LIST 1],HELP!G70),"")</f>
        <v>Flax Seeds,</v>
      </c>
      <c r="AA74" t="str">
        <f ca="1">IF(Z74="","",INDEX(T_L2[LIST 2],HELP!H70))</f>
        <v>Coconut Oil</v>
      </c>
      <c r="AB74" t="str">
        <f t="shared" ca="1" si="2"/>
        <v>Flax Seeds, - Coconut Oil</v>
      </c>
    </row>
    <row r="75" spans="16:28" x14ac:dyDescent="0.2">
      <c r="P75" s="7" t="str">
        <f ca="1">IFERROR(IF(HELP!$F71&gt;N,"",INDEX(T_L1[],HELP!G71,1)
&amp;IF(N_LISTS=1,"",I_S&amp;INDEX(T_L2[],HELP!H71,1)
&amp;IF(N_LISTS=2,"",I_S&amp;INDEX(T_L3[],HELP!I71,1)
&amp;IF(N_LISTS=3,"",I_S&amp;INDEX(T_L4[],HELP!J71,1)
&amp;IF(N_LISTS=4,"",I_S&amp;INDEX(T_L5[],HELP!K71,1)
&amp;IF(N_LISTS=5,"",I_S&amp;INDEX(T_L6[],HELP!L71,1))))))),"")</f>
        <v>Flax Seeds, MCT Oil</v>
      </c>
      <c r="Z75" t="str">
        <f ca="1">IFERROR(INDEX(T_L1[LIST 1],HELP!G71),"")</f>
        <v>Flax Seeds,</v>
      </c>
      <c r="AA75" t="str">
        <f ca="1">IF(Z75="","",INDEX(T_L2[LIST 2],HELP!H71))</f>
        <v>MCT Oil</v>
      </c>
      <c r="AB75" t="str">
        <f t="shared" ca="1" si="2"/>
        <v>Flax Seeds, - MCT Oil</v>
      </c>
    </row>
    <row r="76" spans="16:28" x14ac:dyDescent="0.2">
      <c r="P76" s="7" t="str">
        <f ca="1">IFERROR(IF(HELP!$F72&gt;N,"",INDEX(T_L1[],HELP!G72,1)
&amp;IF(N_LISTS=1,"",I_S&amp;INDEX(T_L2[],HELP!H72,1)
&amp;IF(N_LISTS=2,"",I_S&amp;INDEX(T_L3[],HELP!I72,1)
&amp;IF(N_LISTS=3,"",I_S&amp;INDEX(T_L4[],HELP!J72,1)
&amp;IF(N_LISTS=4,"",I_S&amp;INDEX(T_L5[],HELP!K72,1)
&amp;IF(N_LISTS=5,"",I_S&amp;INDEX(T_L6[],HELP!L72,1))))))),"")</f>
        <v>Flax Seeds, Walnuts</v>
      </c>
      <c r="Z76" t="str">
        <f ca="1">IFERROR(INDEX(T_L1[LIST 1],HELP!G72),"")</f>
        <v>Flax Seeds,</v>
      </c>
      <c r="AA76" t="str">
        <f ca="1">IF(Z76="","",INDEX(T_L2[LIST 2],HELP!H72))</f>
        <v>Walnuts</v>
      </c>
      <c r="AB76" t="str">
        <f t="shared" ca="1" si="2"/>
        <v>Flax Seeds, - Walnuts</v>
      </c>
    </row>
    <row r="77" spans="16:28" x14ac:dyDescent="0.2">
      <c r="P77" s="7" t="str">
        <f ca="1">IFERROR(IF(HELP!$F73&gt;N,"",INDEX(T_L1[],HELP!G73,1)
&amp;IF(N_LISTS=1,"",I_S&amp;INDEX(T_L2[],HELP!H73,1)
&amp;IF(N_LISTS=2,"",I_S&amp;INDEX(T_L3[],HELP!I73,1)
&amp;IF(N_LISTS=3,"",I_S&amp;INDEX(T_L4[],HELP!J73,1)
&amp;IF(N_LISTS=4,"",I_S&amp;INDEX(T_L5[],HELP!K73,1)
&amp;IF(N_LISTS=5,"",I_S&amp;INDEX(T_L6[],HELP!L73,1))))))),"")</f>
        <v>Flax Seeds, Pecans</v>
      </c>
      <c r="Z77" t="str">
        <f ca="1">IFERROR(INDEX(T_L1[LIST 1],HELP!G73),"")</f>
        <v>Flax Seeds,</v>
      </c>
      <c r="AA77" t="str">
        <f ca="1">IF(Z77="","",INDEX(T_L2[LIST 2],HELP!H73))</f>
        <v>Pecans</v>
      </c>
      <c r="AB77" t="str">
        <f t="shared" ca="1" si="2"/>
        <v>Flax Seeds, - Pecans</v>
      </c>
    </row>
    <row r="78" spans="16:28" x14ac:dyDescent="0.2">
      <c r="P78" s="7" t="str">
        <f ca="1">IFERROR(IF(HELP!$F74&gt;N,"",INDEX(T_L1[],HELP!G74,1)
&amp;IF(N_LISTS=1,"",I_S&amp;INDEX(T_L2[],HELP!H74,1)
&amp;IF(N_LISTS=2,"",I_S&amp;INDEX(T_L3[],HELP!I74,1)
&amp;IF(N_LISTS=3,"",I_S&amp;INDEX(T_L4[],HELP!J74,1)
&amp;IF(N_LISTS=4,"",I_S&amp;INDEX(T_L5[],HELP!K74,1)
&amp;IF(N_LISTS=5,"",I_S&amp;INDEX(T_L6[],HELP!L74,1))))))),"")</f>
        <v>Flax Seeds, Macadamia Nuts</v>
      </c>
      <c r="Z78" t="str">
        <f ca="1">IFERROR(INDEX(T_L1[LIST 1],HELP!G74),"")</f>
        <v>Flax Seeds,</v>
      </c>
      <c r="AA78" t="str">
        <f ca="1">IF(Z78="","",INDEX(T_L2[LIST 2],HELP!H74))</f>
        <v>Macadamia Nuts</v>
      </c>
      <c r="AB78" t="str">
        <f t="shared" ca="1" si="2"/>
        <v>Flax Seeds, - Macadamia Nuts</v>
      </c>
    </row>
    <row r="79" spans="16:28" x14ac:dyDescent="0.2">
      <c r="P79" s="7" t="str">
        <f ca="1">IFERROR(IF(HELP!$F75&gt;N,"",INDEX(T_L1[],HELP!G75,1)
&amp;IF(N_LISTS=1,"",I_S&amp;INDEX(T_L2[],HELP!H75,1)
&amp;IF(N_LISTS=2,"",I_S&amp;INDEX(T_L3[],HELP!I75,1)
&amp;IF(N_LISTS=3,"",I_S&amp;INDEX(T_L4[],HELP!J75,1)
&amp;IF(N_LISTS=4,"",I_S&amp;INDEX(T_L5[],HELP!K75,1)
&amp;IF(N_LISTS=5,"",I_S&amp;INDEX(T_L6[],HELP!L75,1))))))),"")</f>
        <v>Flax Seeds, Tahini</v>
      </c>
      <c r="Z79" t="str">
        <f ca="1">IFERROR(INDEX(T_L1[LIST 1],HELP!G75),"")</f>
        <v>Flax Seeds,</v>
      </c>
      <c r="AA79" t="str">
        <f ca="1">IF(Z79="","",INDEX(T_L2[LIST 2],HELP!H75))</f>
        <v>Tahini</v>
      </c>
      <c r="AB79" t="str">
        <f t="shared" ca="1" si="2"/>
        <v>Flax Seeds, - Tahini</v>
      </c>
    </row>
    <row r="80" spans="16:28" x14ac:dyDescent="0.2">
      <c r="P80" s="7" t="str">
        <f ca="1">IFERROR(IF(HELP!$F76&gt;N,"",INDEX(T_L1[],HELP!G76,1)
&amp;IF(N_LISTS=1,"",I_S&amp;INDEX(T_L2[],HELP!H76,1)
&amp;IF(N_LISTS=2,"",I_S&amp;INDEX(T_L3[],HELP!I76,1)
&amp;IF(N_LISTS=3,"",I_S&amp;INDEX(T_L4[],HELP!J76,1)
&amp;IF(N_LISTS=4,"",I_S&amp;INDEX(T_L5[],HELP!K76,1)
&amp;IF(N_LISTS=5,"",I_S&amp;INDEX(T_L6[],HELP!L76,1))))))),"")</f>
        <v>Flax Seeds, Dark Chocolate</v>
      </c>
      <c r="Z80" t="str">
        <f ca="1">IFERROR(INDEX(T_L1[LIST 1],HELP!G76),"")</f>
        <v>Flax Seeds,</v>
      </c>
      <c r="AA80" t="str">
        <f ca="1">IF(Z80="","",INDEX(T_L2[LIST 2],HELP!H76))</f>
        <v>Dark Chocolate</v>
      </c>
      <c r="AB80" t="str">
        <f t="shared" ca="1" si="2"/>
        <v>Flax Seeds, - Dark Chocolate</v>
      </c>
    </row>
    <row r="81" spans="16:28" x14ac:dyDescent="0.2">
      <c r="P81" s="7" t="str">
        <f ca="1">IFERROR(IF(HELP!$F77&gt;N,"",INDEX(T_L1[],HELP!G77,1)
&amp;IF(N_LISTS=1,"",I_S&amp;INDEX(T_L2[],HELP!H77,1)
&amp;IF(N_LISTS=2,"",I_S&amp;INDEX(T_L3[],HELP!I77,1)
&amp;IF(N_LISTS=3,"",I_S&amp;INDEX(T_L4[],HELP!J77,1)
&amp;IF(N_LISTS=4,"",I_S&amp;INDEX(T_L5[],HELP!K77,1)
&amp;IF(N_LISTS=5,"",I_S&amp;INDEX(T_L6[],HELP!L77,1))))))),"")</f>
        <v>Flax Seeds, -</v>
      </c>
      <c r="Z81" t="str">
        <f ca="1">IFERROR(INDEX(T_L1[LIST 1],HELP!G77),"")</f>
        <v>Flax Seeds,</v>
      </c>
      <c r="AA81" t="str">
        <f ca="1">IF(Z81="","",INDEX(T_L2[LIST 2],HELP!H77))</f>
        <v>-</v>
      </c>
      <c r="AB81" t="str">
        <f t="shared" ca="1" si="2"/>
        <v>Flax Seeds, - -</v>
      </c>
    </row>
    <row r="82" spans="16:28" x14ac:dyDescent="0.2">
      <c r="P82" s="7" t="str">
        <f ca="1">IFERROR(IF(HELP!$F78&gt;N,"",INDEX(T_L1[],HELP!G78,1)
&amp;IF(N_LISTS=1,"",I_S&amp;INDEX(T_L2[],HELP!H78,1)
&amp;IF(N_LISTS=2,"",I_S&amp;INDEX(T_L3[],HELP!I78,1)
&amp;IF(N_LISTS=3,"",I_S&amp;INDEX(T_L4[],HELP!J78,1)
&amp;IF(N_LISTS=4,"",I_S&amp;INDEX(T_L5[],HELP!K78,1)
&amp;IF(N_LISTS=5,"",I_S&amp;INDEX(T_L6[],HELP!L78,1))))))),"")</f>
        <v>Hemp Seeds, Peanut Butter</v>
      </c>
      <c r="Z82" t="str">
        <f ca="1">IFERROR(INDEX(T_L1[LIST 1],HELP!G78),"")</f>
        <v>Hemp Seeds,</v>
      </c>
      <c r="AA82" t="str">
        <f ca="1">IF(Z82="","",INDEX(T_L2[LIST 2],HELP!H78))</f>
        <v>Peanut Butter</v>
      </c>
      <c r="AB82" t="str">
        <f t="shared" ca="1" si="2"/>
        <v>Hemp Seeds, - Peanut Butter</v>
      </c>
    </row>
    <row r="83" spans="16:28" x14ac:dyDescent="0.2">
      <c r="P83" s="7" t="str">
        <f ca="1">IFERROR(IF(HELP!$F79&gt;N,"",INDEX(T_L1[],HELP!G79,1)
&amp;IF(N_LISTS=1,"",I_S&amp;INDEX(T_L2[],HELP!H79,1)
&amp;IF(N_LISTS=2,"",I_S&amp;INDEX(T_L3[],HELP!I79,1)
&amp;IF(N_LISTS=3,"",I_S&amp;INDEX(T_L4[],HELP!J79,1)
&amp;IF(N_LISTS=4,"",I_S&amp;INDEX(T_L5[],HELP!K79,1)
&amp;IF(N_LISTS=5,"",I_S&amp;INDEX(T_L6[],HELP!L79,1))))))),"")</f>
        <v>Hemp Seeds, Almond Butter</v>
      </c>
      <c r="Z83" t="str">
        <f ca="1">IFERROR(INDEX(T_L1[LIST 1],HELP!G79),"")</f>
        <v>Hemp Seeds,</v>
      </c>
      <c r="AA83" t="str">
        <f ca="1">IF(Z83="","",INDEX(T_L2[LIST 2],HELP!H79))</f>
        <v>Almond Butter</v>
      </c>
      <c r="AB83" t="str">
        <f t="shared" ca="1" si="2"/>
        <v>Hemp Seeds, - Almond Butter</v>
      </c>
    </row>
    <row r="84" spans="16:28" x14ac:dyDescent="0.2">
      <c r="P84" s="7" t="str">
        <f ca="1">IFERROR(IF(HELP!$F80&gt;N,"",INDEX(T_L1[],HELP!G80,1)
&amp;IF(N_LISTS=1,"",I_S&amp;INDEX(T_L2[],HELP!H80,1)
&amp;IF(N_LISTS=2,"",I_S&amp;INDEX(T_L3[],HELP!I80,1)
&amp;IF(N_LISTS=3,"",I_S&amp;INDEX(T_L4[],HELP!J80,1)
&amp;IF(N_LISTS=4,"",I_S&amp;INDEX(T_L5[],HELP!K80,1)
&amp;IF(N_LISTS=5,"",I_S&amp;INDEX(T_L6[],HELP!L80,1))))))),"")</f>
        <v>Hemp Seeds, Cashew Butter</v>
      </c>
      <c r="Z84" t="str">
        <f ca="1">IFERROR(INDEX(T_L1[LIST 1],HELP!G80),"")</f>
        <v>Hemp Seeds,</v>
      </c>
      <c r="AA84" t="str">
        <f ca="1">IF(Z84="","",INDEX(T_L2[LIST 2],HELP!H80))</f>
        <v>Cashew Butter</v>
      </c>
      <c r="AB84" t="str">
        <f t="shared" ca="1" si="2"/>
        <v>Hemp Seeds, - Cashew Butter</v>
      </c>
    </row>
    <row r="85" spans="16:28" x14ac:dyDescent="0.2">
      <c r="P85" s="7" t="str">
        <f ca="1">IFERROR(IF(HELP!$F81&gt;N,"",INDEX(T_L1[],HELP!G81,1)
&amp;IF(N_LISTS=1,"",I_S&amp;INDEX(T_L2[],HELP!H81,1)
&amp;IF(N_LISTS=2,"",I_S&amp;INDEX(T_L3[],HELP!I81,1)
&amp;IF(N_LISTS=3,"",I_S&amp;INDEX(T_L4[],HELP!J81,1)
&amp;IF(N_LISTS=4,"",I_S&amp;INDEX(T_L5[],HELP!K81,1)
&amp;IF(N_LISTS=5,"",I_S&amp;INDEX(T_L6[],HELP!L81,1))))))),"")</f>
        <v>Hemp Seeds, Chia Seeds</v>
      </c>
      <c r="Z85" t="str">
        <f ca="1">IFERROR(INDEX(T_L1[LIST 1],HELP!G81),"")</f>
        <v>Hemp Seeds,</v>
      </c>
      <c r="AA85" t="str">
        <f ca="1">IF(Z85="","",INDEX(T_L2[LIST 2],HELP!H81))</f>
        <v>Chia Seeds</v>
      </c>
      <c r="AB85" t="str">
        <f t="shared" ca="1" si="2"/>
        <v>Hemp Seeds, - Chia Seeds</v>
      </c>
    </row>
    <row r="86" spans="16:28" x14ac:dyDescent="0.2">
      <c r="P86" s="7" t="str">
        <f ca="1">IFERROR(IF(HELP!$F82&gt;N,"",INDEX(T_L1[],HELP!G82,1)
&amp;IF(N_LISTS=1,"",I_S&amp;INDEX(T_L2[],HELP!H82,1)
&amp;IF(N_LISTS=2,"",I_S&amp;INDEX(T_L3[],HELP!I82,1)
&amp;IF(N_LISTS=3,"",I_S&amp;INDEX(T_L4[],HELP!J82,1)
&amp;IF(N_LISTS=4,"",I_S&amp;INDEX(T_L5[],HELP!K82,1)
&amp;IF(N_LISTS=5,"",I_S&amp;INDEX(T_L6[],HELP!L82,1))))))),"")</f>
        <v>Hemp Seeds, Flax Seeds</v>
      </c>
      <c r="Z86" t="str">
        <f ca="1">IFERROR(INDEX(T_L1[LIST 1],HELP!G82),"")</f>
        <v>Hemp Seeds,</v>
      </c>
      <c r="AA86" t="str">
        <f ca="1">IF(Z86="","",INDEX(T_L2[LIST 2],HELP!H82))</f>
        <v>Flax Seeds</v>
      </c>
      <c r="AB86" t="str">
        <f t="shared" ca="1" si="2"/>
        <v>Hemp Seeds, - Flax Seeds</v>
      </c>
    </row>
    <row r="87" spans="16:28" x14ac:dyDescent="0.2">
      <c r="P87" s="7" t="str">
        <f ca="1">IFERROR(IF(HELP!$F83&gt;N,"",INDEX(T_L1[],HELP!G83,1)
&amp;IF(N_LISTS=1,"",I_S&amp;INDEX(T_L2[],HELP!H83,1)
&amp;IF(N_LISTS=2,"",I_S&amp;INDEX(T_L3[],HELP!I83,1)
&amp;IF(N_LISTS=3,"",I_S&amp;INDEX(T_L4[],HELP!J83,1)
&amp;IF(N_LISTS=4,"",I_S&amp;INDEX(T_L5[],HELP!K83,1)
&amp;IF(N_LISTS=5,"",I_S&amp;INDEX(T_L6[],HELP!L83,1))))))),"")</f>
        <v>Hemp Seeds, Hemp Seeds</v>
      </c>
      <c r="Z87" t="str">
        <f ca="1">IFERROR(INDEX(T_L1[LIST 1],HELP!G83),"")</f>
        <v>Hemp Seeds,</v>
      </c>
      <c r="AA87" t="str">
        <f ca="1">IF(Z87="","",INDEX(T_L2[LIST 2],HELP!H83))</f>
        <v>Hemp Seeds</v>
      </c>
      <c r="AB87" t="str">
        <f t="shared" ca="1" si="2"/>
        <v>Hemp Seeds, - Hemp Seeds</v>
      </c>
    </row>
    <row r="88" spans="16:28" x14ac:dyDescent="0.2">
      <c r="P88" s="7" t="str">
        <f ca="1">IFERROR(IF(HELP!$F84&gt;N,"",INDEX(T_L1[],HELP!G84,1)
&amp;IF(N_LISTS=1,"",I_S&amp;INDEX(T_L2[],HELP!H84,1)
&amp;IF(N_LISTS=2,"",I_S&amp;INDEX(T_L3[],HELP!I84,1)
&amp;IF(N_LISTS=3,"",I_S&amp;INDEX(T_L4[],HELP!J84,1)
&amp;IF(N_LISTS=4,"",I_S&amp;INDEX(T_L5[],HELP!K84,1)
&amp;IF(N_LISTS=5,"",I_S&amp;INDEX(T_L6[],HELP!L84,1))))))),"")</f>
        <v>Hemp Seeds, Avocado</v>
      </c>
      <c r="Z88" t="str">
        <f ca="1">IFERROR(INDEX(T_L1[LIST 1],HELP!G84),"")</f>
        <v>Hemp Seeds,</v>
      </c>
      <c r="AA88" t="str">
        <f ca="1">IF(Z88="","",INDEX(T_L2[LIST 2],HELP!H84))</f>
        <v>Avocado</v>
      </c>
      <c r="AB88" t="str">
        <f t="shared" ca="1" si="2"/>
        <v>Hemp Seeds, - Avocado</v>
      </c>
    </row>
    <row r="89" spans="16:28" x14ac:dyDescent="0.2">
      <c r="P89" s="7" t="str">
        <f ca="1">IFERROR(IF(HELP!$F85&gt;N,"",INDEX(T_L1[],HELP!G85,1)
&amp;IF(N_LISTS=1,"",I_S&amp;INDEX(T_L2[],HELP!H85,1)
&amp;IF(N_LISTS=2,"",I_S&amp;INDEX(T_L3[],HELP!I85,1)
&amp;IF(N_LISTS=3,"",I_S&amp;INDEX(T_L4[],HELP!J85,1)
&amp;IF(N_LISTS=4,"",I_S&amp;INDEX(T_L5[],HELP!K85,1)
&amp;IF(N_LISTS=5,"",I_S&amp;INDEX(T_L6[],HELP!L85,1))))))),"")</f>
        <v>Hemp Seeds, Coconut Oil</v>
      </c>
      <c r="Z89" t="str">
        <f ca="1">IFERROR(INDEX(T_L1[LIST 1],HELP!G85),"")</f>
        <v>Hemp Seeds,</v>
      </c>
      <c r="AA89" t="str">
        <f ca="1">IF(Z89="","",INDEX(T_L2[LIST 2],HELP!H85))</f>
        <v>Coconut Oil</v>
      </c>
      <c r="AB89" t="str">
        <f t="shared" ca="1" si="2"/>
        <v>Hemp Seeds, - Coconut Oil</v>
      </c>
    </row>
    <row r="90" spans="16:28" x14ac:dyDescent="0.2">
      <c r="P90" s="7" t="str">
        <f ca="1">IFERROR(IF(HELP!$F86&gt;N,"",INDEX(T_L1[],HELP!G86,1)
&amp;IF(N_LISTS=1,"",I_S&amp;INDEX(T_L2[],HELP!H86,1)
&amp;IF(N_LISTS=2,"",I_S&amp;INDEX(T_L3[],HELP!I86,1)
&amp;IF(N_LISTS=3,"",I_S&amp;INDEX(T_L4[],HELP!J86,1)
&amp;IF(N_LISTS=4,"",I_S&amp;INDEX(T_L5[],HELP!K86,1)
&amp;IF(N_LISTS=5,"",I_S&amp;INDEX(T_L6[],HELP!L86,1))))))),"")</f>
        <v>Hemp Seeds, MCT Oil</v>
      </c>
      <c r="Z90" t="str">
        <f ca="1">IFERROR(INDEX(T_L1[LIST 1],HELP!G86),"")</f>
        <v>Hemp Seeds,</v>
      </c>
      <c r="AA90" t="str">
        <f ca="1">IF(Z90="","",INDEX(T_L2[LIST 2],HELP!H86))</f>
        <v>MCT Oil</v>
      </c>
      <c r="AB90" t="str">
        <f t="shared" ca="1" si="2"/>
        <v>Hemp Seeds, - MCT Oil</v>
      </c>
    </row>
    <row r="91" spans="16:28" x14ac:dyDescent="0.2">
      <c r="P91" s="7" t="str">
        <f ca="1">IFERROR(IF(HELP!$F87&gt;N,"",INDEX(T_L1[],HELP!G87,1)
&amp;IF(N_LISTS=1,"",I_S&amp;INDEX(T_L2[],HELP!H87,1)
&amp;IF(N_LISTS=2,"",I_S&amp;INDEX(T_L3[],HELP!I87,1)
&amp;IF(N_LISTS=3,"",I_S&amp;INDEX(T_L4[],HELP!J87,1)
&amp;IF(N_LISTS=4,"",I_S&amp;INDEX(T_L5[],HELP!K87,1)
&amp;IF(N_LISTS=5,"",I_S&amp;INDEX(T_L6[],HELP!L87,1))))))),"")</f>
        <v>Hemp Seeds, Walnuts</v>
      </c>
      <c r="Z91" t="str">
        <f ca="1">IFERROR(INDEX(T_L1[LIST 1],HELP!G87),"")</f>
        <v>Hemp Seeds,</v>
      </c>
      <c r="AA91" t="str">
        <f ca="1">IF(Z91="","",INDEX(T_L2[LIST 2],HELP!H87))</f>
        <v>Walnuts</v>
      </c>
      <c r="AB91" t="str">
        <f t="shared" ca="1" si="2"/>
        <v>Hemp Seeds, - Walnuts</v>
      </c>
    </row>
    <row r="92" spans="16:28" x14ac:dyDescent="0.2">
      <c r="P92" s="7" t="str">
        <f ca="1">IFERROR(IF(HELP!$F88&gt;N,"",INDEX(T_L1[],HELP!G88,1)
&amp;IF(N_LISTS=1,"",I_S&amp;INDEX(T_L2[],HELP!H88,1)
&amp;IF(N_LISTS=2,"",I_S&amp;INDEX(T_L3[],HELP!I88,1)
&amp;IF(N_LISTS=3,"",I_S&amp;INDEX(T_L4[],HELP!J88,1)
&amp;IF(N_LISTS=4,"",I_S&amp;INDEX(T_L5[],HELP!K88,1)
&amp;IF(N_LISTS=5,"",I_S&amp;INDEX(T_L6[],HELP!L88,1))))))),"")</f>
        <v>Hemp Seeds, Pecans</v>
      </c>
      <c r="Z92" t="str">
        <f ca="1">IFERROR(INDEX(T_L1[LIST 1],HELP!G88),"")</f>
        <v>Hemp Seeds,</v>
      </c>
      <c r="AA92" t="str">
        <f ca="1">IF(Z92="","",INDEX(T_L2[LIST 2],HELP!H88))</f>
        <v>Pecans</v>
      </c>
      <c r="AB92" t="str">
        <f t="shared" ca="1" si="2"/>
        <v>Hemp Seeds, - Pecans</v>
      </c>
    </row>
    <row r="93" spans="16:28" x14ac:dyDescent="0.2">
      <c r="P93" s="7" t="str">
        <f ca="1">IFERROR(IF(HELP!$F89&gt;N,"",INDEX(T_L1[],HELP!G89,1)
&amp;IF(N_LISTS=1,"",I_S&amp;INDEX(T_L2[],HELP!H89,1)
&amp;IF(N_LISTS=2,"",I_S&amp;INDEX(T_L3[],HELP!I89,1)
&amp;IF(N_LISTS=3,"",I_S&amp;INDEX(T_L4[],HELP!J89,1)
&amp;IF(N_LISTS=4,"",I_S&amp;INDEX(T_L5[],HELP!K89,1)
&amp;IF(N_LISTS=5,"",I_S&amp;INDEX(T_L6[],HELP!L89,1))))))),"")</f>
        <v>Hemp Seeds, Macadamia Nuts</v>
      </c>
      <c r="Z93" t="str">
        <f ca="1">IFERROR(INDEX(T_L1[LIST 1],HELP!G89),"")</f>
        <v>Hemp Seeds,</v>
      </c>
      <c r="AA93" t="str">
        <f ca="1">IF(Z93="","",INDEX(T_L2[LIST 2],HELP!H89))</f>
        <v>Macadamia Nuts</v>
      </c>
      <c r="AB93" t="str">
        <f t="shared" ca="1" si="2"/>
        <v>Hemp Seeds, - Macadamia Nuts</v>
      </c>
    </row>
    <row r="94" spans="16:28" x14ac:dyDescent="0.2">
      <c r="P94" s="7" t="str">
        <f ca="1">IFERROR(IF(HELP!$F90&gt;N,"",INDEX(T_L1[],HELP!G90,1)
&amp;IF(N_LISTS=1,"",I_S&amp;INDEX(T_L2[],HELP!H90,1)
&amp;IF(N_LISTS=2,"",I_S&amp;INDEX(T_L3[],HELP!I90,1)
&amp;IF(N_LISTS=3,"",I_S&amp;INDEX(T_L4[],HELP!J90,1)
&amp;IF(N_LISTS=4,"",I_S&amp;INDEX(T_L5[],HELP!K90,1)
&amp;IF(N_LISTS=5,"",I_S&amp;INDEX(T_L6[],HELP!L90,1))))))),"")</f>
        <v>Hemp Seeds, Tahini</v>
      </c>
      <c r="Z94" t="str">
        <f ca="1">IFERROR(INDEX(T_L1[LIST 1],HELP!G90),"")</f>
        <v>Hemp Seeds,</v>
      </c>
      <c r="AA94" t="str">
        <f ca="1">IF(Z94="","",INDEX(T_L2[LIST 2],HELP!H90))</f>
        <v>Tahini</v>
      </c>
      <c r="AB94" t="str">
        <f t="shared" ca="1" si="2"/>
        <v>Hemp Seeds, - Tahini</v>
      </c>
    </row>
    <row r="95" spans="16:28" x14ac:dyDescent="0.2">
      <c r="P95" s="7" t="str">
        <f ca="1">IFERROR(IF(HELP!$F91&gt;N,"",INDEX(T_L1[],HELP!G91,1)
&amp;IF(N_LISTS=1,"",I_S&amp;INDEX(T_L2[],HELP!H91,1)
&amp;IF(N_LISTS=2,"",I_S&amp;INDEX(T_L3[],HELP!I91,1)
&amp;IF(N_LISTS=3,"",I_S&amp;INDEX(T_L4[],HELP!J91,1)
&amp;IF(N_LISTS=4,"",I_S&amp;INDEX(T_L5[],HELP!K91,1)
&amp;IF(N_LISTS=5,"",I_S&amp;INDEX(T_L6[],HELP!L91,1))))))),"")</f>
        <v>Hemp Seeds, Dark Chocolate</v>
      </c>
      <c r="Z95" t="str">
        <f ca="1">IFERROR(INDEX(T_L1[LIST 1],HELP!G91),"")</f>
        <v>Hemp Seeds,</v>
      </c>
      <c r="AA95" t="str">
        <f ca="1">IF(Z95="","",INDEX(T_L2[LIST 2],HELP!H91))</f>
        <v>Dark Chocolate</v>
      </c>
      <c r="AB95" t="str">
        <f t="shared" ca="1" si="2"/>
        <v>Hemp Seeds, - Dark Chocolate</v>
      </c>
    </row>
    <row r="96" spans="16:28" x14ac:dyDescent="0.2">
      <c r="P96" s="7" t="str">
        <f ca="1">IFERROR(IF(HELP!$F92&gt;N,"",INDEX(T_L1[],HELP!G92,1)
&amp;IF(N_LISTS=1,"",I_S&amp;INDEX(T_L2[],HELP!H92,1)
&amp;IF(N_LISTS=2,"",I_S&amp;INDEX(T_L3[],HELP!I92,1)
&amp;IF(N_LISTS=3,"",I_S&amp;INDEX(T_L4[],HELP!J92,1)
&amp;IF(N_LISTS=4,"",I_S&amp;INDEX(T_L5[],HELP!K92,1)
&amp;IF(N_LISTS=5,"",I_S&amp;INDEX(T_L6[],HELP!L92,1))))))),"")</f>
        <v>Hemp Seeds, -</v>
      </c>
      <c r="Z96" t="str">
        <f ca="1">IFERROR(INDEX(T_L1[LIST 1],HELP!G92),"")</f>
        <v>Hemp Seeds,</v>
      </c>
      <c r="AA96" t="str">
        <f ca="1">IF(Z96="","",INDEX(T_L2[LIST 2],HELP!H92))</f>
        <v>-</v>
      </c>
      <c r="AB96" t="str">
        <f t="shared" ca="1" si="2"/>
        <v>Hemp Seeds, - -</v>
      </c>
    </row>
    <row r="97" spans="16:28" x14ac:dyDescent="0.2">
      <c r="P97" s="7" t="str">
        <f ca="1">IFERROR(IF(HELP!$F93&gt;N,"",INDEX(T_L1[],HELP!G93,1)
&amp;IF(N_LISTS=1,"",I_S&amp;INDEX(T_L2[],HELP!H93,1)
&amp;IF(N_LISTS=2,"",I_S&amp;INDEX(T_L3[],HELP!I93,1)
&amp;IF(N_LISTS=3,"",I_S&amp;INDEX(T_L4[],HELP!J93,1)
&amp;IF(N_LISTS=4,"",I_S&amp;INDEX(T_L5[],HELP!K93,1)
&amp;IF(N_LISTS=5,"",I_S&amp;INDEX(T_L6[],HELP!L93,1))))))),"")</f>
        <v>Avocado, Peanut Butter</v>
      </c>
      <c r="Z97" t="str">
        <f ca="1">IFERROR(INDEX(T_L1[LIST 1],HELP!G93),"")</f>
        <v>Avocado,</v>
      </c>
      <c r="AA97" t="str">
        <f ca="1">IF(Z97="","",INDEX(T_L2[LIST 2],HELP!H93))</f>
        <v>Peanut Butter</v>
      </c>
      <c r="AB97" t="str">
        <f t="shared" ca="1" si="2"/>
        <v>Avocado, - Peanut Butter</v>
      </c>
    </row>
    <row r="98" spans="16:28" x14ac:dyDescent="0.2">
      <c r="P98" s="7" t="str">
        <f ca="1">IFERROR(IF(HELP!$F94&gt;N,"",INDEX(T_L1[],HELP!G94,1)
&amp;IF(N_LISTS=1,"",I_S&amp;INDEX(T_L2[],HELP!H94,1)
&amp;IF(N_LISTS=2,"",I_S&amp;INDEX(T_L3[],HELP!I94,1)
&amp;IF(N_LISTS=3,"",I_S&amp;INDEX(T_L4[],HELP!J94,1)
&amp;IF(N_LISTS=4,"",I_S&amp;INDEX(T_L5[],HELP!K94,1)
&amp;IF(N_LISTS=5,"",I_S&amp;INDEX(T_L6[],HELP!L94,1))))))),"")</f>
        <v>Avocado, Almond Butter</v>
      </c>
      <c r="Z98" t="str">
        <f ca="1">IFERROR(INDEX(T_L1[LIST 1],HELP!G94),"")</f>
        <v>Avocado,</v>
      </c>
      <c r="AA98" t="str">
        <f ca="1">IF(Z98="","",INDEX(T_L2[LIST 2],HELP!H94))</f>
        <v>Almond Butter</v>
      </c>
      <c r="AB98" t="str">
        <f t="shared" ca="1" si="2"/>
        <v>Avocado, - Almond Butter</v>
      </c>
    </row>
    <row r="99" spans="16:28" x14ac:dyDescent="0.2">
      <c r="P99" s="7" t="str">
        <f ca="1">IFERROR(IF(HELP!$F95&gt;N,"",INDEX(T_L1[],HELP!G95,1)
&amp;IF(N_LISTS=1,"",I_S&amp;INDEX(T_L2[],HELP!H95,1)
&amp;IF(N_LISTS=2,"",I_S&amp;INDEX(T_L3[],HELP!I95,1)
&amp;IF(N_LISTS=3,"",I_S&amp;INDEX(T_L4[],HELP!J95,1)
&amp;IF(N_LISTS=4,"",I_S&amp;INDEX(T_L5[],HELP!K95,1)
&amp;IF(N_LISTS=5,"",I_S&amp;INDEX(T_L6[],HELP!L95,1))))))),"")</f>
        <v>Avocado, Cashew Butter</v>
      </c>
      <c r="Z99" t="str">
        <f ca="1">IFERROR(INDEX(T_L1[LIST 1],HELP!G95),"")</f>
        <v>Avocado,</v>
      </c>
      <c r="AA99" t="str">
        <f ca="1">IF(Z99="","",INDEX(T_L2[LIST 2],HELP!H95))</f>
        <v>Cashew Butter</v>
      </c>
      <c r="AB99" t="str">
        <f t="shared" ca="1" si="2"/>
        <v>Avocado, - Cashew Butter</v>
      </c>
    </row>
    <row r="100" spans="16:28" x14ac:dyDescent="0.2">
      <c r="P100" s="7" t="str">
        <f ca="1">IFERROR(IF(HELP!$F96&gt;N,"",INDEX(T_L1[],HELP!G96,1)
&amp;IF(N_LISTS=1,"",I_S&amp;INDEX(T_L2[],HELP!H96,1)
&amp;IF(N_LISTS=2,"",I_S&amp;INDEX(T_L3[],HELP!I96,1)
&amp;IF(N_LISTS=3,"",I_S&amp;INDEX(T_L4[],HELP!J96,1)
&amp;IF(N_LISTS=4,"",I_S&amp;INDEX(T_L5[],HELP!K96,1)
&amp;IF(N_LISTS=5,"",I_S&amp;INDEX(T_L6[],HELP!L96,1))))))),"")</f>
        <v>Avocado, Chia Seeds</v>
      </c>
      <c r="Z100" t="str">
        <f ca="1">IFERROR(INDEX(T_L1[LIST 1],HELP!G96),"")</f>
        <v>Avocado,</v>
      </c>
      <c r="AA100" t="str">
        <f ca="1">IF(Z100="","",INDEX(T_L2[LIST 2],HELP!H96))</f>
        <v>Chia Seeds</v>
      </c>
      <c r="AB100" t="str">
        <f t="shared" ca="1" si="2"/>
        <v>Avocado, - Chia Seeds</v>
      </c>
    </row>
    <row r="101" spans="16:28" x14ac:dyDescent="0.2">
      <c r="P101" s="7" t="str">
        <f ca="1">IFERROR(IF(HELP!$F97&gt;N,"",INDEX(T_L1[],HELP!G97,1)
&amp;IF(N_LISTS=1,"",I_S&amp;INDEX(T_L2[],HELP!H97,1)
&amp;IF(N_LISTS=2,"",I_S&amp;INDEX(T_L3[],HELP!I97,1)
&amp;IF(N_LISTS=3,"",I_S&amp;INDEX(T_L4[],HELP!J97,1)
&amp;IF(N_LISTS=4,"",I_S&amp;INDEX(T_L5[],HELP!K97,1)
&amp;IF(N_LISTS=5,"",I_S&amp;INDEX(T_L6[],HELP!L97,1))))))),"")</f>
        <v>Avocado, Flax Seeds</v>
      </c>
      <c r="Z101" t="str">
        <f ca="1">IFERROR(INDEX(T_L1[LIST 1],HELP!G97),"")</f>
        <v>Avocado,</v>
      </c>
      <c r="AA101" t="str">
        <f ca="1">IF(Z101="","",INDEX(T_L2[LIST 2],HELP!H97))</f>
        <v>Flax Seeds</v>
      </c>
      <c r="AB101" t="str">
        <f t="shared" ref="AB101:AB164" ca="1" si="3">Z101&amp;" - "&amp;AA101</f>
        <v>Avocado, - Flax Seeds</v>
      </c>
    </row>
    <row r="102" spans="16:28" x14ac:dyDescent="0.2">
      <c r="P102" s="7" t="str">
        <f ca="1">IFERROR(IF(HELP!$F98&gt;N,"",INDEX(T_L1[],HELP!G98,1)
&amp;IF(N_LISTS=1,"",I_S&amp;INDEX(T_L2[],HELP!H98,1)
&amp;IF(N_LISTS=2,"",I_S&amp;INDEX(T_L3[],HELP!I98,1)
&amp;IF(N_LISTS=3,"",I_S&amp;INDEX(T_L4[],HELP!J98,1)
&amp;IF(N_LISTS=4,"",I_S&amp;INDEX(T_L5[],HELP!K98,1)
&amp;IF(N_LISTS=5,"",I_S&amp;INDEX(T_L6[],HELP!L98,1))))))),"")</f>
        <v>Avocado, Hemp Seeds</v>
      </c>
      <c r="Z102" t="str">
        <f ca="1">IFERROR(INDEX(T_L1[LIST 1],HELP!G98),"")</f>
        <v>Avocado,</v>
      </c>
      <c r="AA102" t="str">
        <f ca="1">IF(Z102="","",INDEX(T_L2[LIST 2],HELP!H98))</f>
        <v>Hemp Seeds</v>
      </c>
      <c r="AB102" t="str">
        <f t="shared" ca="1" si="3"/>
        <v>Avocado, - Hemp Seeds</v>
      </c>
    </row>
    <row r="103" spans="16:28" x14ac:dyDescent="0.2">
      <c r="P103" s="7" t="str">
        <f ca="1">IFERROR(IF(HELP!$F99&gt;N,"",INDEX(T_L1[],HELP!G99,1)
&amp;IF(N_LISTS=1,"",I_S&amp;INDEX(T_L2[],HELP!H99,1)
&amp;IF(N_LISTS=2,"",I_S&amp;INDEX(T_L3[],HELP!I99,1)
&amp;IF(N_LISTS=3,"",I_S&amp;INDEX(T_L4[],HELP!J99,1)
&amp;IF(N_LISTS=4,"",I_S&amp;INDEX(T_L5[],HELP!K99,1)
&amp;IF(N_LISTS=5,"",I_S&amp;INDEX(T_L6[],HELP!L99,1))))))),"")</f>
        <v>Avocado, Avocado</v>
      </c>
      <c r="Z103" t="str">
        <f ca="1">IFERROR(INDEX(T_L1[LIST 1],HELP!G99),"")</f>
        <v>Avocado,</v>
      </c>
      <c r="AA103" t="str">
        <f ca="1">IF(Z103="","",INDEX(T_L2[LIST 2],HELP!H99))</f>
        <v>Avocado</v>
      </c>
      <c r="AB103" t="str">
        <f t="shared" ca="1" si="3"/>
        <v>Avocado, - Avocado</v>
      </c>
    </row>
    <row r="104" spans="16:28" x14ac:dyDescent="0.2">
      <c r="P104" s="7" t="str">
        <f ca="1">IFERROR(IF(HELP!$F100&gt;N,"",INDEX(T_L1[],HELP!G100,1)
&amp;IF(N_LISTS=1,"",I_S&amp;INDEX(T_L2[],HELP!H100,1)
&amp;IF(N_LISTS=2,"",I_S&amp;INDEX(T_L3[],HELP!I100,1)
&amp;IF(N_LISTS=3,"",I_S&amp;INDEX(T_L4[],HELP!J100,1)
&amp;IF(N_LISTS=4,"",I_S&amp;INDEX(T_L5[],HELP!K100,1)
&amp;IF(N_LISTS=5,"",I_S&amp;INDEX(T_L6[],HELP!L100,1))))))),"")</f>
        <v>Avocado, Coconut Oil</v>
      </c>
      <c r="Z104" t="str">
        <f ca="1">IFERROR(INDEX(T_L1[LIST 1],HELP!G100),"")</f>
        <v>Avocado,</v>
      </c>
      <c r="AA104" t="str">
        <f ca="1">IF(Z104="","",INDEX(T_L2[LIST 2],HELP!H100))</f>
        <v>Coconut Oil</v>
      </c>
      <c r="AB104" t="str">
        <f t="shared" ca="1" si="3"/>
        <v>Avocado, - Coconut Oil</v>
      </c>
    </row>
    <row r="105" spans="16:28" x14ac:dyDescent="0.2">
      <c r="P105" s="7" t="str">
        <f ca="1">IFERROR(IF(HELP!$F101&gt;N,"",INDEX(T_L1[],HELP!G101,1)
&amp;IF(N_LISTS=1,"",I_S&amp;INDEX(T_L2[],HELP!H101,1)
&amp;IF(N_LISTS=2,"",I_S&amp;INDEX(T_L3[],HELP!I101,1)
&amp;IF(N_LISTS=3,"",I_S&amp;INDEX(T_L4[],HELP!J101,1)
&amp;IF(N_LISTS=4,"",I_S&amp;INDEX(T_L5[],HELP!K101,1)
&amp;IF(N_LISTS=5,"",I_S&amp;INDEX(T_L6[],HELP!L101,1))))))),"")</f>
        <v>Avocado, MCT Oil</v>
      </c>
      <c r="Z105" t="str">
        <f ca="1">IFERROR(INDEX(T_L1[LIST 1],HELP!G101),"")</f>
        <v>Avocado,</v>
      </c>
      <c r="AA105" t="str">
        <f ca="1">IF(Z105="","",INDEX(T_L2[LIST 2],HELP!H101))</f>
        <v>MCT Oil</v>
      </c>
      <c r="AB105" t="str">
        <f t="shared" ca="1" si="3"/>
        <v>Avocado, - MCT Oil</v>
      </c>
    </row>
    <row r="106" spans="16:28" x14ac:dyDescent="0.2">
      <c r="P106" s="7" t="str">
        <f ca="1">IFERROR(IF(HELP!$F102&gt;N,"",INDEX(T_L1[],HELP!G102,1)
&amp;IF(N_LISTS=1,"",I_S&amp;INDEX(T_L2[],HELP!H102,1)
&amp;IF(N_LISTS=2,"",I_S&amp;INDEX(T_L3[],HELP!I102,1)
&amp;IF(N_LISTS=3,"",I_S&amp;INDEX(T_L4[],HELP!J102,1)
&amp;IF(N_LISTS=4,"",I_S&amp;INDEX(T_L5[],HELP!K102,1)
&amp;IF(N_LISTS=5,"",I_S&amp;INDEX(T_L6[],HELP!L102,1))))))),"")</f>
        <v>Avocado, Walnuts</v>
      </c>
      <c r="Z106" t="str">
        <f ca="1">IFERROR(INDEX(T_L1[LIST 1],HELP!G102),"")</f>
        <v>Avocado,</v>
      </c>
      <c r="AA106" t="str">
        <f ca="1">IF(Z106="","",INDEX(T_L2[LIST 2],HELP!H102))</f>
        <v>Walnuts</v>
      </c>
      <c r="AB106" t="str">
        <f t="shared" ca="1" si="3"/>
        <v>Avocado, - Walnuts</v>
      </c>
    </row>
    <row r="107" spans="16:28" x14ac:dyDescent="0.2">
      <c r="P107" s="7" t="str">
        <f ca="1">IFERROR(IF(HELP!$F103&gt;N,"",INDEX(T_L1[],HELP!G103,1)
&amp;IF(N_LISTS=1,"",I_S&amp;INDEX(T_L2[],HELP!H103,1)
&amp;IF(N_LISTS=2,"",I_S&amp;INDEX(T_L3[],HELP!I103,1)
&amp;IF(N_LISTS=3,"",I_S&amp;INDEX(T_L4[],HELP!J103,1)
&amp;IF(N_LISTS=4,"",I_S&amp;INDEX(T_L5[],HELP!K103,1)
&amp;IF(N_LISTS=5,"",I_S&amp;INDEX(T_L6[],HELP!L103,1))))))),"")</f>
        <v>Avocado, Pecans</v>
      </c>
      <c r="Z107" t="str">
        <f ca="1">IFERROR(INDEX(T_L1[LIST 1],HELP!G103),"")</f>
        <v>Avocado,</v>
      </c>
      <c r="AA107" t="str">
        <f ca="1">IF(Z107="","",INDEX(T_L2[LIST 2],HELP!H103))</f>
        <v>Pecans</v>
      </c>
      <c r="AB107" t="str">
        <f t="shared" ca="1" si="3"/>
        <v>Avocado, - Pecans</v>
      </c>
    </row>
    <row r="108" spans="16:28" x14ac:dyDescent="0.2">
      <c r="P108" s="7" t="str">
        <f ca="1">IFERROR(IF(HELP!$F104&gt;N,"",INDEX(T_L1[],HELP!G104,1)
&amp;IF(N_LISTS=1,"",I_S&amp;INDEX(T_L2[],HELP!H104,1)
&amp;IF(N_LISTS=2,"",I_S&amp;INDEX(T_L3[],HELP!I104,1)
&amp;IF(N_LISTS=3,"",I_S&amp;INDEX(T_L4[],HELP!J104,1)
&amp;IF(N_LISTS=4,"",I_S&amp;INDEX(T_L5[],HELP!K104,1)
&amp;IF(N_LISTS=5,"",I_S&amp;INDEX(T_L6[],HELP!L104,1))))))),"")</f>
        <v>Avocado, Macadamia Nuts</v>
      </c>
      <c r="Z108" t="str">
        <f ca="1">IFERROR(INDEX(T_L1[LIST 1],HELP!G104),"")</f>
        <v>Avocado,</v>
      </c>
      <c r="AA108" t="str">
        <f ca="1">IF(Z108="","",INDEX(T_L2[LIST 2],HELP!H104))</f>
        <v>Macadamia Nuts</v>
      </c>
      <c r="AB108" t="str">
        <f t="shared" ca="1" si="3"/>
        <v>Avocado, - Macadamia Nuts</v>
      </c>
    </row>
    <row r="109" spans="16:28" x14ac:dyDescent="0.2">
      <c r="P109" s="7" t="str">
        <f ca="1">IFERROR(IF(HELP!$F105&gt;N,"",INDEX(T_L1[],HELP!G105,1)
&amp;IF(N_LISTS=1,"",I_S&amp;INDEX(T_L2[],HELP!H105,1)
&amp;IF(N_LISTS=2,"",I_S&amp;INDEX(T_L3[],HELP!I105,1)
&amp;IF(N_LISTS=3,"",I_S&amp;INDEX(T_L4[],HELP!J105,1)
&amp;IF(N_LISTS=4,"",I_S&amp;INDEX(T_L5[],HELP!K105,1)
&amp;IF(N_LISTS=5,"",I_S&amp;INDEX(T_L6[],HELP!L105,1))))))),"")</f>
        <v>Avocado, Tahini</v>
      </c>
      <c r="Z109" t="str">
        <f ca="1">IFERROR(INDEX(T_L1[LIST 1],HELP!G105),"")</f>
        <v>Avocado,</v>
      </c>
      <c r="AA109" t="str">
        <f ca="1">IF(Z109="","",INDEX(T_L2[LIST 2],HELP!H105))</f>
        <v>Tahini</v>
      </c>
      <c r="AB109" t="str">
        <f t="shared" ca="1" si="3"/>
        <v>Avocado, - Tahini</v>
      </c>
    </row>
    <row r="110" spans="16:28" x14ac:dyDescent="0.2">
      <c r="P110" s="7" t="str">
        <f ca="1">IFERROR(IF(HELP!$F106&gt;N,"",INDEX(T_L1[],HELP!G106,1)
&amp;IF(N_LISTS=1,"",I_S&amp;INDEX(T_L2[],HELP!H106,1)
&amp;IF(N_LISTS=2,"",I_S&amp;INDEX(T_L3[],HELP!I106,1)
&amp;IF(N_LISTS=3,"",I_S&amp;INDEX(T_L4[],HELP!J106,1)
&amp;IF(N_LISTS=4,"",I_S&amp;INDEX(T_L5[],HELP!K106,1)
&amp;IF(N_LISTS=5,"",I_S&amp;INDEX(T_L6[],HELP!L106,1))))))),"")</f>
        <v>Avocado, Dark Chocolate</v>
      </c>
      <c r="Z110" t="str">
        <f ca="1">IFERROR(INDEX(T_L1[LIST 1],HELP!G106),"")</f>
        <v>Avocado,</v>
      </c>
      <c r="AA110" t="str">
        <f ca="1">IF(Z110="","",INDEX(T_L2[LIST 2],HELP!H106))</f>
        <v>Dark Chocolate</v>
      </c>
      <c r="AB110" t="str">
        <f t="shared" ca="1" si="3"/>
        <v>Avocado, - Dark Chocolate</v>
      </c>
    </row>
    <row r="111" spans="16:28" x14ac:dyDescent="0.2">
      <c r="P111" s="7" t="str">
        <f ca="1">IFERROR(IF(HELP!$F107&gt;N,"",INDEX(T_L1[],HELP!G107,1)
&amp;IF(N_LISTS=1,"",I_S&amp;INDEX(T_L2[],HELP!H107,1)
&amp;IF(N_LISTS=2,"",I_S&amp;INDEX(T_L3[],HELP!I107,1)
&amp;IF(N_LISTS=3,"",I_S&amp;INDEX(T_L4[],HELP!J107,1)
&amp;IF(N_LISTS=4,"",I_S&amp;INDEX(T_L5[],HELP!K107,1)
&amp;IF(N_LISTS=5,"",I_S&amp;INDEX(T_L6[],HELP!L107,1))))))),"")</f>
        <v>Avocado, -</v>
      </c>
      <c r="Z111" t="str">
        <f ca="1">IFERROR(INDEX(T_L1[LIST 1],HELP!G107),"")</f>
        <v>Avocado,</v>
      </c>
      <c r="AA111" t="str">
        <f ca="1">IF(Z111="","",INDEX(T_L2[LIST 2],HELP!H107))</f>
        <v>-</v>
      </c>
      <c r="AB111" t="str">
        <f t="shared" ca="1" si="3"/>
        <v>Avocado, - -</v>
      </c>
    </row>
    <row r="112" spans="16:28" x14ac:dyDescent="0.2">
      <c r="P112" s="7" t="str">
        <f ca="1">IFERROR(IF(HELP!$F108&gt;N,"",INDEX(T_L1[],HELP!G108,1)
&amp;IF(N_LISTS=1,"",I_S&amp;INDEX(T_L2[],HELP!H108,1)
&amp;IF(N_LISTS=2,"",I_S&amp;INDEX(T_L3[],HELP!I108,1)
&amp;IF(N_LISTS=3,"",I_S&amp;INDEX(T_L4[],HELP!J108,1)
&amp;IF(N_LISTS=4,"",I_S&amp;INDEX(T_L5[],HELP!K108,1)
&amp;IF(N_LISTS=5,"",I_S&amp;INDEX(T_L6[],HELP!L108,1))))))),"")</f>
        <v>Coconut Oil, Peanut Butter</v>
      </c>
      <c r="Z112" t="str">
        <f ca="1">IFERROR(INDEX(T_L1[LIST 1],HELP!G108),"")</f>
        <v>Coconut Oil,</v>
      </c>
      <c r="AA112" t="str">
        <f ca="1">IF(Z112="","",INDEX(T_L2[LIST 2],HELP!H108))</f>
        <v>Peanut Butter</v>
      </c>
      <c r="AB112" t="str">
        <f t="shared" ca="1" si="3"/>
        <v>Coconut Oil, - Peanut Butter</v>
      </c>
    </row>
    <row r="113" spans="16:28" x14ac:dyDescent="0.2">
      <c r="P113" s="7" t="str">
        <f ca="1">IFERROR(IF(HELP!$F109&gt;N,"",INDEX(T_L1[],HELP!G109,1)
&amp;IF(N_LISTS=1,"",I_S&amp;INDEX(T_L2[],HELP!H109,1)
&amp;IF(N_LISTS=2,"",I_S&amp;INDEX(T_L3[],HELP!I109,1)
&amp;IF(N_LISTS=3,"",I_S&amp;INDEX(T_L4[],HELP!J109,1)
&amp;IF(N_LISTS=4,"",I_S&amp;INDEX(T_L5[],HELP!K109,1)
&amp;IF(N_LISTS=5,"",I_S&amp;INDEX(T_L6[],HELP!L109,1))))))),"")</f>
        <v>Coconut Oil, Almond Butter</v>
      </c>
      <c r="Z113" t="str">
        <f ca="1">IFERROR(INDEX(T_L1[LIST 1],HELP!G109),"")</f>
        <v>Coconut Oil,</v>
      </c>
      <c r="AA113" t="str">
        <f ca="1">IF(Z113="","",INDEX(T_L2[LIST 2],HELP!H109))</f>
        <v>Almond Butter</v>
      </c>
      <c r="AB113" t="str">
        <f t="shared" ca="1" si="3"/>
        <v>Coconut Oil, - Almond Butter</v>
      </c>
    </row>
    <row r="114" spans="16:28" x14ac:dyDescent="0.2">
      <c r="P114" s="7" t="str">
        <f ca="1">IFERROR(IF(HELP!$F110&gt;N,"",INDEX(T_L1[],HELP!G110,1)
&amp;IF(N_LISTS=1,"",I_S&amp;INDEX(T_L2[],HELP!H110,1)
&amp;IF(N_LISTS=2,"",I_S&amp;INDEX(T_L3[],HELP!I110,1)
&amp;IF(N_LISTS=3,"",I_S&amp;INDEX(T_L4[],HELP!J110,1)
&amp;IF(N_LISTS=4,"",I_S&amp;INDEX(T_L5[],HELP!K110,1)
&amp;IF(N_LISTS=5,"",I_S&amp;INDEX(T_L6[],HELP!L110,1))))))),"")</f>
        <v>Coconut Oil, Cashew Butter</v>
      </c>
      <c r="Z114" t="str">
        <f ca="1">IFERROR(INDEX(T_L1[LIST 1],HELP!G110),"")</f>
        <v>Coconut Oil,</v>
      </c>
      <c r="AA114" t="str">
        <f ca="1">IF(Z114="","",INDEX(T_L2[LIST 2],HELP!H110))</f>
        <v>Cashew Butter</v>
      </c>
      <c r="AB114" t="str">
        <f t="shared" ca="1" si="3"/>
        <v>Coconut Oil, - Cashew Butter</v>
      </c>
    </row>
    <row r="115" spans="16:28" x14ac:dyDescent="0.2">
      <c r="P115" s="7" t="str">
        <f ca="1">IFERROR(IF(HELP!$F111&gt;N,"",INDEX(T_L1[],HELP!G111,1)
&amp;IF(N_LISTS=1,"",I_S&amp;INDEX(T_L2[],HELP!H111,1)
&amp;IF(N_LISTS=2,"",I_S&amp;INDEX(T_L3[],HELP!I111,1)
&amp;IF(N_LISTS=3,"",I_S&amp;INDEX(T_L4[],HELP!J111,1)
&amp;IF(N_LISTS=4,"",I_S&amp;INDEX(T_L5[],HELP!K111,1)
&amp;IF(N_LISTS=5,"",I_S&amp;INDEX(T_L6[],HELP!L111,1))))))),"")</f>
        <v>Coconut Oil, Chia Seeds</v>
      </c>
      <c r="Z115" t="str">
        <f ca="1">IFERROR(INDEX(T_L1[LIST 1],HELP!G111),"")</f>
        <v>Coconut Oil,</v>
      </c>
      <c r="AA115" t="str">
        <f ca="1">IF(Z115="","",INDEX(T_L2[LIST 2],HELP!H111))</f>
        <v>Chia Seeds</v>
      </c>
      <c r="AB115" t="str">
        <f t="shared" ca="1" si="3"/>
        <v>Coconut Oil, - Chia Seeds</v>
      </c>
    </row>
    <row r="116" spans="16:28" x14ac:dyDescent="0.2">
      <c r="P116" s="7" t="str">
        <f ca="1">IFERROR(IF(HELP!$F112&gt;N,"",INDEX(T_L1[],HELP!G112,1)
&amp;IF(N_LISTS=1,"",I_S&amp;INDEX(T_L2[],HELP!H112,1)
&amp;IF(N_LISTS=2,"",I_S&amp;INDEX(T_L3[],HELP!I112,1)
&amp;IF(N_LISTS=3,"",I_S&amp;INDEX(T_L4[],HELP!J112,1)
&amp;IF(N_LISTS=4,"",I_S&amp;INDEX(T_L5[],HELP!K112,1)
&amp;IF(N_LISTS=5,"",I_S&amp;INDEX(T_L6[],HELP!L112,1))))))),"")</f>
        <v>Coconut Oil, Flax Seeds</v>
      </c>
      <c r="Z116" t="str">
        <f ca="1">IFERROR(INDEX(T_L1[LIST 1],HELP!G112),"")</f>
        <v>Coconut Oil,</v>
      </c>
      <c r="AA116" t="str">
        <f ca="1">IF(Z116="","",INDEX(T_L2[LIST 2],HELP!H112))</f>
        <v>Flax Seeds</v>
      </c>
      <c r="AB116" t="str">
        <f t="shared" ca="1" si="3"/>
        <v>Coconut Oil, - Flax Seeds</v>
      </c>
    </row>
    <row r="117" spans="16:28" x14ac:dyDescent="0.2">
      <c r="P117" s="7" t="str">
        <f ca="1">IFERROR(IF(HELP!$F113&gt;N,"",INDEX(T_L1[],HELP!G113,1)
&amp;IF(N_LISTS=1,"",I_S&amp;INDEX(T_L2[],HELP!H113,1)
&amp;IF(N_LISTS=2,"",I_S&amp;INDEX(T_L3[],HELP!I113,1)
&amp;IF(N_LISTS=3,"",I_S&amp;INDEX(T_L4[],HELP!J113,1)
&amp;IF(N_LISTS=4,"",I_S&amp;INDEX(T_L5[],HELP!K113,1)
&amp;IF(N_LISTS=5,"",I_S&amp;INDEX(T_L6[],HELP!L113,1))))))),"")</f>
        <v>Coconut Oil, Hemp Seeds</v>
      </c>
      <c r="Z117" t="str">
        <f ca="1">IFERROR(INDEX(T_L1[LIST 1],HELP!G113),"")</f>
        <v>Coconut Oil,</v>
      </c>
      <c r="AA117" t="str">
        <f ca="1">IF(Z117="","",INDEX(T_L2[LIST 2],HELP!H113))</f>
        <v>Hemp Seeds</v>
      </c>
      <c r="AB117" t="str">
        <f t="shared" ca="1" si="3"/>
        <v>Coconut Oil, - Hemp Seeds</v>
      </c>
    </row>
    <row r="118" spans="16:28" x14ac:dyDescent="0.2">
      <c r="P118" s="7" t="str">
        <f ca="1">IFERROR(IF(HELP!$F114&gt;N,"",INDEX(T_L1[],HELP!G114,1)
&amp;IF(N_LISTS=1,"",I_S&amp;INDEX(T_L2[],HELP!H114,1)
&amp;IF(N_LISTS=2,"",I_S&amp;INDEX(T_L3[],HELP!I114,1)
&amp;IF(N_LISTS=3,"",I_S&amp;INDEX(T_L4[],HELP!J114,1)
&amp;IF(N_LISTS=4,"",I_S&amp;INDEX(T_L5[],HELP!K114,1)
&amp;IF(N_LISTS=5,"",I_S&amp;INDEX(T_L6[],HELP!L114,1))))))),"")</f>
        <v>Coconut Oil, Avocado</v>
      </c>
      <c r="Z118" t="str">
        <f ca="1">IFERROR(INDEX(T_L1[LIST 1],HELP!G114),"")</f>
        <v>Coconut Oil,</v>
      </c>
      <c r="AA118" t="str">
        <f ca="1">IF(Z118="","",INDEX(T_L2[LIST 2],HELP!H114))</f>
        <v>Avocado</v>
      </c>
      <c r="AB118" t="str">
        <f t="shared" ca="1" si="3"/>
        <v>Coconut Oil, - Avocado</v>
      </c>
    </row>
    <row r="119" spans="16:28" x14ac:dyDescent="0.2">
      <c r="P119" s="7" t="str">
        <f ca="1">IFERROR(IF(HELP!$F115&gt;N,"",INDEX(T_L1[],HELP!G115,1)
&amp;IF(N_LISTS=1,"",I_S&amp;INDEX(T_L2[],HELP!H115,1)
&amp;IF(N_LISTS=2,"",I_S&amp;INDEX(T_L3[],HELP!I115,1)
&amp;IF(N_LISTS=3,"",I_S&amp;INDEX(T_L4[],HELP!J115,1)
&amp;IF(N_LISTS=4,"",I_S&amp;INDEX(T_L5[],HELP!K115,1)
&amp;IF(N_LISTS=5,"",I_S&amp;INDEX(T_L6[],HELP!L115,1))))))),"")</f>
        <v>Coconut Oil, Coconut Oil</v>
      </c>
      <c r="Z119" t="str">
        <f ca="1">IFERROR(INDEX(T_L1[LIST 1],HELP!G115),"")</f>
        <v>Coconut Oil,</v>
      </c>
      <c r="AA119" t="str">
        <f ca="1">IF(Z119="","",INDEX(T_L2[LIST 2],HELP!H115))</f>
        <v>Coconut Oil</v>
      </c>
      <c r="AB119" t="str">
        <f t="shared" ca="1" si="3"/>
        <v>Coconut Oil, - Coconut Oil</v>
      </c>
    </row>
    <row r="120" spans="16:28" x14ac:dyDescent="0.2">
      <c r="P120" s="7" t="str">
        <f ca="1">IFERROR(IF(HELP!$F116&gt;N,"",INDEX(T_L1[],HELP!G116,1)
&amp;IF(N_LISTS=1,"",I_S&amp;INDEX(T_L2[],HELP!H116,1)
&amp;IF(N_LISTS=2,"",I_S&amp;INDEX(T_L3[],HELP!I116,1)
&amp;IF(N_LISTS=3,"",I_S&amp;INDEX(T_L4[],HELP!J116,1)
&amp;IF(N_LISTS=4,"",I_S&amp;INDEX(T_L5[],HELP!K116,1)
&amp;IF(N_LISTS=5,"",I_S&amp;INDEX(T_L6[],HELP!L116,1))))))),"")</f>
        <v>Coconut Oil, MCT Oil</v>
      </c>
      <c r="Z120" t="str">
        <f ca="1">IFERROR(INDEX(T_L1[LIST 1],HELP!G116),"")</f>
        <v>Coconut Oil,</v>
      </c>
      <c r="AA120" t="str">
        <f ca="1">IF(Z120="","",INDEX(T_L2[LIST 2],HELP!H116))</f>
        <v>MCT Oil</v>
      </c>
      <c r="AB120" t="str">
        <f t="shared" ca="1" si="3"/>
        <v>Coconut Oil, - MCT Oil</v>
      </c>
    </row>
    <row r="121" spans="16:28" x14ac:dyDescent="0.2">
      <c r="P121" s="7" t="str">
        <f ca="1">IFERROR(IF(HELP!$F117&gt;N,"",INDEX(T_L1[],HELP!G117,1)
&amp;IF(N_LISTS=1,"",I_S&amp;INDEX(T_L2[],HELP!H117,1)
&amp;IF(N_LISTS=2,"",I_S&amp;INDEX(T_L3[],HELP!I117,1)
&amp;IF(N_LISTS=3,"",I_S&amp;INDEX(T_L4[],HELP!J117,1)
&amp;IF(N_LISTS=4,"",I_S&amp;INDEX(T_L5[],HELP!K117,1)
&amp;IF(N_LISTS=5,"",I_S&amp;INDEX(T_L6[],HELP!L117,1))))))),"")</f>
        <v>Coconut Oil, Walnuts</v>
      </c>
      <c r="Z121" t="str">
        <f ca="1">IFERROR(INDEX(T_L1[LIST 1],HELP!G117),"")</f>
        <v>Coconut Oil,</v>
      </c>
      <c r="AA121" t="str">
        <f ca="1">IF(Z121="","",INDEX(T_L2[LIST 2],HELP!H117))</f>
        <v>Walnuts</v>
      </c>
      <c r="AB121" t="str">
        <f t="shared" ca="1" si="3"/>
        <v>Coconut Oil, - Walnuts</v>
      </c>
    </row>
    <row r="122" spans="16:28" x14ac:dyDescent="0.2">
      <c r="P122" s="7" t="str">
        <f ca="1">IFERROR(IF(HELP!$F118&gt;N,"",INDEX(T_L1[],HELP!G118,1)
&amp;IF(N_LISTS=1,"",I_S&amp;INDEX(T_L2[],HELP!H118,1)
&amp;IF(N_LISTS=2,"",I_S&amp;INDEX(T_L3[],HELP!I118,1)
&amp;IF(N_LISTS=3,"",I_S&amp;INDEX(T_L4[],HELP!J118,1)
&amp;IF(N_LISTS=4,"",I_S&amp;INDEX(T_L5[],HELP!K118,1)
&amp;IF(N_LISTS=5,"",I_S&amp;INDEX(T_L6[],HELP!L118,1))))))),"")</f>
        <v>Coconut Oil, Pecans</v>
      </c>
      <c r="Z122" t="str">
        <f ca="1">IFERROR(INDEX(T_L1[LIST 1],HELP!G118),"")</f>
        <v>Coconut Oil,</v>
      </c>
      <c r="AA122" t="str">
        <f ca="1">IF(Z122="","",INDEX(T_L2[LIST 2],HELP!H118))</f>
        <v>Pecans</v>
      </c>
      <c r="AB122" t="str">
        <f t="shared" ca="1" si="3"/>
        <v>Coconut Oil, - Pecans</v>
      </c>
    </row>
    <row r="123" spans="16:28" x14ac:dyDescent="0.2">
      <c r="P123" s="7" t="str">
        <f ca="1">IFERROR(IF(HELP!$F119&gt;N,"",INDEX(T_L1[],HELP!G119,1)
&amp;IF(N_LISTS=1,"",I_S&amp;INDEX(T_L2[],HELP!H119,1)
&amp;IF(N_LISTS=2,"",I_S&amp;INDEX(T_L3[],HELP!I119,1)
&amp;IF(N_LISTS=3,"",I_S&amp;INDEX(T_L4[],HELP!J119,1)
&amp;IF(N_LISTS=4,"",I_S&amp;INDEX(T_L5[],HELP!K119,1)
&amp;IF(N_LISTS=5,"",I_S&amp;INDEX(T_L6[],HELP!L119,1))))))),"")</f>
        <v>Coconut Oil, Macadamia Nuts</v>
      </c>
      <c r="Z123" t="str">
        <f ca="1">IFERROR(INDEX(T_L1[LIST 1],HELP!G119),"")</f>
        <v>Coconut Oil,</v>
      </c>
      <c r="AA123" t="str">
        <f ca="1">IF(Z123="","",INDEX(T_L2[LIST 2],HELP!H119))</f>
        <v>Macadamia Nuts</v>
      </c>
      <c r="AB123" t="str">
        <f t="shared" ca="1" si="3"/>
        <v>Coconut Oil, - Macadamia Nuts</v>
      </c>
    </row>
    <row r="124" spans="16:28" x14ac:dyDescent="0.2">
      <c r="P124" s="7" t="str">
        <f ca="1">IFERROR(IF(HELP!$F120&gt;N,"",INDEX(T_L1[],HELP!G120,1)
&amp;IF(N_LISTS=1,"",I_S&amp;INDEX(T_L2[],HELP!H120,1)
&amp;IF(N_LISTS=2,"",I_S&amp;INDEX(T_L3[],HELP!I120,1)
&amp;IF(N_LISTS=3,"",I_S&amp;INDEX(T_L4[],HELP!J120,1)
&amp;IF(N_LISTS=4,"",I_S&amp;INDEX(T_L5[],HELP!K120,1)
&amp;IF(N_LISTS=5,"",I_S&amp;INDEX(T_L6[],HELP!L120,1))))))),"")</f>
        <v>Coconut Oil, Tahini</v>
      </c>
      <c r="Z124" t="str">
        <f ca="1">IFERROR(INDEX(T_L1[LIST 1],HELP!G120),"")</f>
        <v>Coconut Oil,</v>
      </c>
      <c r="AA124" t="str">
        <f ca="1">IF(Z124="","",INDEX(T_L2[LIST 2],HELP!H120))</f>
        <v>Tahini</v>
      </c>
      <c r="AB124" t="str">
        <f t="shared" ca="1" si="3"/>
        <v>Coconut Oil, - Tahini</v>
      </c>
    </row>
    <row r="125" spans="16:28" x14ac:dyDescent="0.2">
      <c r="P125" s="7" t="str">
        <f ca="1">IFERROR(IF(HELP!$F121&gt;N,"",INDEX(T_L1[],HELP!G121,1)
&amp;IF(N_LISTS=1,"",I_S&amp;INDEX(T_L2[],HELP!H121,1)
&amp;IF(N_LISTS=2,"",I_S&amp;INDEX(T_L3[],HELP!I121,1)
&amp;IF(N_LISTS=3,"",I_S&amp;INDEX(T_L4[],HELP!J121,1)
&amp;IF(N_LISTS=4,"",I_S&amp;INDEX(T_L5[],HELP!K121,1)
&amp;IF(N_LISTS=5,"",I_S&amp;INDEX(T_L6[],HELP!L121,1))))))),"")</f>
        <v>Coconut Oil, Dark Chocolate</v>
      </c>
      <c r="Z125" t="str">
        <f ca="1">IFERROR(INDEX(T_L1[LIST 1],HELP!G121),"")</f>
        <v>Coconut Oil,</v>
      </c>
      <c r="AA125" t="str">
        <f ca="1">IF(Z125="","",INDEX(T_L2[LIST 2],HELP!H121))</f>
        <v>Dark Chocolate</v>
      </c>
      <c r="AB125" t="str">
        <f t="shared" ca="1" si="3"/>
        <v>Coconut Oil, - Dark Chocolate</v>
      </c>
    </row>
    <row r="126" spans="16:28" x14ac:dyDescent="0.2">
      <c r="P126" s="7" t="str">
        <f ca="1">IFERROR(IF(HELP!$F122&gt;N,"",INDEX(T_L1[],HELP!G122,1)
&amp;IF(N_LISTS=1,"",I_S&amp;INDEX(T_L2[],HELP!H122,1)
&amp;IF(N_LISTS=2,"",I_S&amp;INDEX(T_L3[],HELP!I122,1)
&amp;IF(N_LISTS=3,"",I_S&amp;INDEX(T_L4[],HELP!J122,1)
&amp;IF(N_LISTS=4,"",I_S&amp;INDEX(T_L5[],HELP!K122,1)
&amp;IF(N_LISTS=5,"",I_S&amp;INDEX(T_L6[],HELP!L122,1))))))),"")</f>
        <v>Coconut Oil, -</v>
      </c>
      <c r="Z126" t="str">
        <f ca="1">IFERROR(INDEX(T_L1[LIST 1],HELP!G122),"")</f>
        <v>Coconut Oil,</v>
      </c>
      <c r="AA126" t="str">
        <f ca="1">IF(Z126="","",INDEX(T_L2[LIST 2],HELP!H122))</f>
        <v>-</v>
      </c>
      <c r="AB126" t="str">
        <f t="shared" ca="1" si="3"/>
        <v>Coconut Oil, - -</v>
      </c>
    </row>
    <row r="127" spans="16:28" x14ac:dyDescent="0.2">
      <c r="P127" s="7" t="str">
        <f ca="1">IFERROR(IF(HELP!$F123&gt;N,"",INDEX(T_L1[],HELP!G123,1)
&amp;IF(N_LISTS=1,"",I_S&amp;INDEX(T_L2[],HELP!H123,1)
&amp;IF(N_LISTS=2,"",I_S&amp;INDEX(T_L3[],HELP!I123,1)
&amp;IF(N_LISTS=3,"",I_S&amp;INDEX(T_L4[],HELP!J123,1)
&amp;IF(N_LISTS=4,"",I_S&amp;INDEX(T_L5[],HELP!K123,1)
&amp;IF(N_LISTS=5,"",I_S&amp;INDEX(T_L6[],HELP!L123,1))))))),"")</f>
        <v>MCT Oil, Peanut Butter</v>
      </c>
      <c r="Z127" t="str">
        <f ca="1">IFERROR(INDEX(T_L1[LIST 1],HELP!G123),"")</f>
        <v>MCT Oil,</v>
      </c>
      <c r="AA127" t="str">
        <f ca="1">IF(Z127="","",INDEX(T_L2[LIST 2],HELP!H123))</f>
        <v>Peanut Butter</v>
      </c>
      <c r="AB127" t="str">
        <f t="shared" ca="1" si="3"/>
        <v>MCT Oil, - Peanut Butter</v>
      </c>
    </row>
    <row r="128" spans="16:28" x14ac:dyDescent="0.2">
      <c r="P128" s="7" t="str">
        <f ca="1">IFERROR(IF(HELP!$F124&gt;N,"",INDEX(T_L1[],HELP!G124,1)
&amp;IF(N_LISTS=1,"",I_S&amp;INDEX(T_L2[],HELP!H124,1)
&amp;IF(N_LISTS=2,"",I_S&amp;INDEX(T_L3[],HELP!I124,1)
&amp;IF(N_LISTS=3,"",I_S&amp;INDEX(T_L4[],HELP!J124,1)
&amp;IF(N_LISTS=4,"",I_S&amp;INDEX(T_L5[],HELP!K124,1)
&amp;IF(N_LISTS=5,"",I_S&amp;INDEX(T_L6[],HELP!L124,1))))))),"")</f>
        <v>MCT Oil, Almond Butter</v>
      </c>
      <c r="Z128" t="str">
        <f ca="1">IFERROR(INDEX(T_L1[LIST 1],HELP!G124),"")</f>
        <v>MCT Oil,</v>
      </c>
      <c r="AA128" t="str">
        <f ca="1">IF(Z128="","",INDEX(T_L2[LIST 2],HELP!H124))</f>
        <v>Almond Butter</v>
      </c>
      <c r="AB128" t="str">
        <f t="shared" ca="1" si="3"/>
        <v>MCT Oil, - Almond Butter</v>
      </c>
    </row>
    <row r="129" spans="16:28" x14ac:dyDescent="0.2">
      <c r="P129" s="7" t="str">
        <f ca="1">IFERROR(IF(HELP!$F125&gt;N,"",INDEX(T_L1[],HELP!G125,1)
&amp;IF(N_LISTS=1,"",I_S&amp;INDEX(T_L2[],HELP!H125,1)
&amp;IF(N_LISTS=2,"",I_S&amp;INDEX(T_L3[],HELP!I125,1)
&amp;IF(N_LISTS=3,"",I_S&amp;INDEX(T_L4[],HELP!J125,1)
&amp;IF(N_LISTS=4,"",I_S&amp;INDEX(T_L5[],HELP!K125,1)
&amp;IF(N_LISTS=5,"",I_S&amp;INDEX(T_L6[],HELP!L125,1))))))),"")</f>
        <v>MCT Oil, Cashew Butter</v>
      </c>
      <c r="Z129" t="str">
        <f ca="1">IFERROR(INDEX(T_L1[LIST 1],HELP!G125),"")</f>
        <v>MCT Oil,</v>
      </c>
      <c r="AA129" t="str">
        <f ca="1">IF(Z129="","",INDEX(T_L2[LIST 2],HELP!H125))</f>
        <v>Cashew Butter</v>
      </c>
      <c r="AB129" t="str">
        <f t="shared" ca="1" si="3"/>
        <v>MCT Oil, - Cashew Butter</v>
      </c>
    </row>
    <row r="130" spans="16:28" x14ac:dyDescent="0.2">
      <c r="P130" s="7" t="str">
        <f ca="1">IFERROR(IF(HELP!$F126&gt;N,"",INDEX(T_L1[],HELP!G126,1)
&amp;IF(N_LISTS=1,"",I_S&amp;INDEX(T_L2[],HELP!H126,1)
&amp;IF(N_LISTS=2,"",I_S&amp;INDEX(T_L3[],HELP!I126,1)
&amp;IF(N_LISTS=3,"",I_S&amp;INDEX(T_L4[],HELP!J126,1)
&amp;IF(N_LISTS=4,"",I_S&amp;INDEX(T_L5[],HELP!K126,1)
&amp;IF(N_LISTS=5,"",I_S&amp;INDEX(T_L6[],HELP!L126,1))))))),"")</f>
        <v>MCT Oil, Chia Seeds</v>
      </c>
      <c r="Z130" t="str">
        <f ca="1">IFERROR(INDEX(T_L1[LIST 1],HELP!G126),"")</f>
        <v>MCT Oil,</v>
      </c>
      <c r="AA130" t="str">
        <f ca="1">IF(Z130="","",INDEX(T_L2[LIST 2],HELP!H126))</f>
        <v>Chia Seeds</v>
      </c>
      <c r="AB130" t="str">
        <f t="shared" ca="1" si="3"/>
        <v>MCT Oil, - Chia Seeds</v>
      </c>
    </row>
    <row r="131" spans="16:28" x14ac:dyDescent="0.2">
      <c r="P131" s="7" t="str">
        <f ca="1">IFERROR(IF(HELP!$F127&gt;N,"",INDEX(T_L1[],HELP!G127,1)
&amp;IF(N_LISTS=1,"",I_S&amp;INDEX(T_L2[],HELP!H127,1)
&amp;IF(N_LISTS=2,"",I_S&amp;INDEX(T_L3[],HELP!I127,1)
&amp;IF(N_LISTS=3,"",I_S&amp;INDEX(T_L4[],HELP!J127,1)
&amp;IF(N_LISTS=4,"",I_S&amp;INDEX(T_L5[],HELP!K127,1)
&amp;IF(N_LISTS=5,"",I_S&amp;INDEX(T_L6[],HELP!L127,1))))))),"")</f>
        <v>MCT Oil, Flax Seeds</v>
      </c>
      <c r="Z131" t="str">
        <f ca="1">IFERROR(INDEX(T_L1[LIST 1],HELP!G127),"")</f>
        <v>MCT Oil,</v>
      </c>
      <c r="AA131" t="str">
        <f ca="1">IF(Z131="","",INDEX(T_L2[LIST 2],HELP!H127))</f>
        <v>Flax Seeds</v>
      </c>
      <c r="AB131" t="str">
        <f t="shared" ca="1" si="3"/>
        <v>MCT Oil, - Flax Seeds</v>
      </c>
    </row>
    <row r="132" spans="16:28" x14ac:dyDescent="0.2">
      <c r="P132" s="7" t="str">
        <f ca="1">IFERROR(IF(HELP!$F128&gt;N,"",INDEX(T_L1[],HELP!G128,1)
&amp;IF(N_LISTS=1,"",I_S&amp;INDEX(T_L2[],HELP!H128,1)
&amp;IF(N_LISTS=2,"",I_S&amp;INDEX(T_L3[],HELP!I128,1)
&amp;IF(N_LISTS=3,"",I_S&amp;INDEX(T_L4[],HELP!J128,1)
&amp;IF(N_LISTS=4,"",I_S&amp;INDEX(T_L5[],HELP!K128,1)
&amp;IF(N_LISTS=5,"",I_S&amp;INDEX(T_L6[],HELP!L128,1))))))),"")</f>
        <v>MCT Oil, Hemp Seeds</v>
      </c>
      <c r="Z132" t="str">
        <f ca="1">IFERROR(INDEX(T_L1[LIST 1],HELP!G128),"")</f>
        <v>MCT Oil,</v>
      </c>
      <c r="AA132" t="str">
        <f ca="1">IF(Z132="","",INDEX(T_L2[LIST 2],HELP!H128))</f>
        <v>Hemp Seeds</v>
      </c>
      <c r="AB132" t="str">
        <f t="shared" ca="1" si="3"/>
        <v>MCT Oil, - Hemp Seeds</v>
      </c>
    </row>
    <row r="133" spans="16:28" x14ac:dyDescent="0.2">
      <c r="P133" s="7" t="str">
        <f ca="1">IFERROR(IF(HELP!$F129&gt;N,"",INDEX(T_L1[],HELP!G129,1)
&amp;IF(N_LISTS=1,"",I_S&amp;INDEX(T_L2[],HELP!H129,1)
&amp;IF(N_LISTS=2,"",I_S&amp;INDEX(T_L3[],HELP!I129,1)
&amp;IF(N_LISTS=3,"",I_S&amp;INDEX(T_L4[],HELP!J129,1)
&amp;IF(N_LISTS=4,"",I_S&amp;INDEX(T_L5[],HELP!K129,1)
&amp;IF(N_LISTS=5,"",I_S&amp;INDEX(T_L6[],HELP!L129,1))))))),"")</f>
        <v>MCT Oil, Avocado</v>
      </c>
      <c r="Z133" t="str">
        <f ca="1">IFERROR(INDEX(T_L1[LIST 1],HELP!G129),"")</f>
        <v>MCT Oil,</v>
      </c>
      <c r="AA133" t="str">
        <f ca="1">IF(Z133="","",INDEX(T_L2[LIST 2],HELP!H129))</f>
        <v>Avocado</v>
      </c>
      <c r="AB133" t="str">
        <f t="shared" ca="1" si="3"/>
        <v>MCT Oil, - Avocado</v>
      </c>
    </row>
    <row r="134" spans="16:28" x14ac:dyDescent="0.2">
      <c r="P134" s="7" t="str">
        <f ca="1">IFERROR(IF(HELP!$F130&gt;N,"",INDEX(T_L1[],HELP!G130,1)
&amp;IF(N_LISTS=1,"",I_S&amp;INDEX(T_L2[],HELP!H130,1)
&amp;IF(N_LISTS=2,"",I_S&amp;INDEX(T_L3[],HELP!I130,1)
&amp;IF(N_LISTS=3,"",I_S&amp;INDEX(T_L4[],HELP!J130,1)
&amp;IF(N_LISTS=4,"",I_S&amp;INDEX(T_L5[],HELP!K130,1)
&amp;IF(N_LISTS=5,"",I_S&amp;INDEX(T_L6[],HELP!L130,1))))))),"")</f>
        <v>MCT Oil, Coconut Oil</v>
      </c>
      <c r="Z134" t="str">
        <f ca="1">IFERROR(INDEX(T_L1[LIST 1],HELP!G130),"")</f>
        <v>MCT Oil,</v>
      </c>
      <c r="AA134" t="str">
        <f ca="1">IF(Z134="","",INDEX(T_L2[LIST 2],HELP!H130))</f>
        <v>Coconut Oil</v>
      </c>
      <c r="AB134" t="str">
        <f t="shared" ca="1" si="3"/>
        <v>MCT Oil, - Coconut Oil</v>
      </c>
    </row>
    <row r="135" spans="16:28" x14ac:dyDescent="0.2">
      <c r="P135" s="7" t="str">
        <f ca="1">IFERROR(IF(HELP!$F131&gt;N,"",INDEX(T_L1[],HELP!G131,1)
&amp;IF(N_LISTS=1,"",I_S&amp;INDEX(T_L2[],HELP!H131,1)
&amp;IF(N_LISTS=2,"",I_S&amp;INDEX(T_L3[],HELP!I131,1)
&amp;IF(N_LISTS=3,"",I_S&amp;INDEX(T_L4[],HELP!J131,1)
&amp;IF(N_LISTS=4,"",I_S&amp;INDEX(T_L5[],HELP!K131,1)
&amp;IF(N_LISTS=5,"",I_S&amp;INDEX(T_L6[],HELP!L131,1))))))),"")</f>
        <v>MCT Oil, MCT Oil</v>
      </c>
      <c r="Z135" t="str">
        <f ca="1">IFERROR(INDEX(T_L1[LIST 1],HELP!G131),"")</f>
        <v>MCT Oil,</v>
      </c>
      <c r="AA135" t="str">
        <f ca="1">IF(Z135="","",INDEX(T_L2[LIST 2],HELP!H131))</f>
        <v>MCT Oil</v>
      </c>
      <c r="AB135" t="str">
        <f t="shared" ca="1" si="3"/>
        <v>MCT Oil, - MCT Oil</v>
      </c>
    </row>
    <row r="136" spans="16:28" x14ac:dyDescent="0.2">
      <c r="P136" s="7" t="str">
        <f ca="1">IFERROR(IF(HELP!$F132&gt;N,"",INDEX(T_L1[],HELP!G132,1)
&amp;IF(N_LISTS=1,"",I_S&amp;INDEX(T_L2[],HELP!H132,1)
&amp;IF(N_LISTS=2,"",I_S&amp;INDEX(T_L3[],HELP!I132,1)
&amp;IF(N_LISTS=3,"",I_S&amp;INDEX(T_L4[],HELP!J132,1)
&amp;IF(N_LISTS=4,"",I_S&amp;INDEX(T_L5[],HELP!K132,1)
&amp;IF(N_LISTS=5,"",I_S&amp;INDEX(T_L6[],HELP!L132,1))))))),"")</f>
        <v>MCT Oil, Walnuts</v>
      </c>
      <c r="Z136" t="str">
        <f ca="1">IFERROR(INDEX(T_L1[LIST 1],HELP!G132),"")</f>
        <v>MCT Oil,</v>
      </c>
      <c r="AA136" t="str">
        <f ca="1">IF(Z136="","",INDEX(T_L2[LIST 2],HELP!H132))</f>
        <v>Walnuts</v>
      </c>
      <c r="AB136" t="str">
        <f t="shared" ca="1" si="3"/>
        <v>MCT Oil, - Walnuts</v>
      </c>
    </row>
    <row r="137" spans="16:28" x14ac:dyDescent="0.2">
      <c r="P137" s="7" t="str">
        <f ca="1">IFERROR(IF(HELP!$F133&gt;N,"",INDEX(T_L1[],HELP!G133,1)
&amp;IF(N_LISTS=1,"",I_S&amp;INDEX(T_L2[],HELP!H133,1)
&amp;IF(N_LISTS=2,"",I_S&amp;INDEX(T_L3[],HELP!I133,1)
&amp;IF(N_LISTS=3,"",I_S&amp;INDEX(T_L4[],HELP!J133,1)
&amp;IF(N_LISTS=4,"",I_S&amp;INDEX(T_L5[],HELP!K133,1)
&amp;IF(N_LISTS=5,"",I_S&amp;INDEX(T_L6[],HELP!L133,1))))))),"")</f>
        <v>MCT Oil, Pecans</v>
      </c>
      <c r="Z137" t="str">
        <f ca="1">IFERROR(INDEX(T_L1[LIST 1],HELP!G133),"")</f>
        <v>MCT Oil,</v>
      </c>
      <c r="AA137" t="str">
        <f ca="1">IF(Z137="","",INDEX(T_L2[LIST 2],HELP!H133))</f>
        <v>Pecans</v>
      </c>
      <c r="AB137" t="str">
        <f t="shared" ca="1" si="3"/>
        <v>MCT Oil, - Pecans</v>
      </c>
    </row>
    <row r="138" spans="16:28" x14ac:dyDescent="0.2">
      <c r="P138" s="7" t="str">
        <f ca="1">IFERROR(IF(HELP!$F134&gt;N,"",INDEX(T_L1[],HELP!G134,1)
&amp;IF(N_LISTS=1,"",I_S&amp;INDEX(T_L2[],HELP!H134,1)
&amp;IF(N_LISTS=2,"",I_S&amp;INDEX(T_L3[],HELP!I134,1)
&amp;IF(N_LISTS=3,"",I_S&amp;INDEX(T_L4[],HELP!J134,1)
&amp;IF(N_LISTS=4,"",I_S&amp;INDEX(T_L5[],HELP!K134,1)
&amp;IF(N_LISTS=5,"",I_S&amp;INDEX(T_L6[],HELP!L134,1))))))),"")</f>
        <v>MCT Oil, Macadamia Nuts</v>
      </c>
      <c r="Z138" t="str">
        <f ca="1">IFERROR(INDEX(T_L1[LIST 1],HELP!G134),"")</f>
        <v>MCT Oil,</v>
      </c>
      <c r="AA138" t="str">
        <f ca="1">IF(Z138="","",INDEX(T_L2[LIST 2],HELP!H134))</f>
        <v>Macadamia Nuts</v>
      </c>
      <c r="AB138" t="str">
        <f t="shared" ca="1" si="3"/>
        <v>MCT Oil, - Macadamia Nuts</v>
      </c>
    </row>
    <row r="139" spans="16:28" x14ac:dyDescent="0.2">
      <c r="P139" s="7" t="str">
        <f ca="1">IFERROR(IF(HELP!$F135&gt;N,"",INDEX(T_L1[],HELP!G135,1)
&amp;IF(N_LISTS=1,"",I_S&amp;INDEX(T_L2[],HELP!H135,1)
&amp;IF(N_LISTS=2,"",I_S&amp;INDEX(T_L3[],HELP!I135,1)
&amp;IF(N_LISTS=3,"",I_S&amp;INDEX(T_L4[],HELP!J135,1)
&amp;IF(N_LISTS=4,"",I_S&amp;INDEX(T_L5[],HELP!K135,1)
&amp;IF(N_LISTS=5,"",I_S&amp;INDEX(T_L6[],HELP!L135,1))))))),"")</f>
        <v>MCT Oil, Tahini</v>
      </c>
      <c r="Z139" t="str">
        <f ca="1">IFERROR(INDEX(T_L1[LIST 1],HELP!G135),"")</f>
        <v>MCT Oil,</v>
      </c>
      <c r="AA139" t="str">
        <f ca="1">IF(Z139="","",INDEX(T_L2[LIST 2],HELP!H135))</f>
        <v>Tahini</v>
      </c>
      <c r="AB139" t="str">
        <f t="shared" ca="1" si="3"/>
        <v>MCT Oil, - Tahini</v>
      </c>
    </row>
    <row r="140" spans="16:28" x14ac:dyDescent="0.2">
      <c r="P140" s="7" t="str">
        <f ca="1">IFERROR(IF(HELP!$F136&gt;N,"",INDEX(T_L1[],HELP!G136,1)
&amp;IF(N_LISTS=1,"",I_S&amp;INDEX(T_L2[],HELP!H136,1)
&amp;IF(N_LISTS=2,"",I_S&amp;INDEX(T_L3[],HELP!I136,1)
&amp;IF(N_LISTS=3,"",I_S&amp;INDEX(T_L4[],HELP!J136,1)
&amp;IF(N_LISTS=4,"",I_S&amp;INDEX(T_L5[],HELP!K136,1)
&amp;IF(N_LISTS=5,"",I_S&amp;INDEX(T_L6[],HELP!L136,1))))))),"")</f>
        <v>MCT Oil, Dark Chocolate</v>
      </c>
      <c r="Z140" t="str">
        <f ca="1">IFERROR(INDEX(T_L1[LIST 1],HELP!G136),"")</f>
        <v>MCT Oil,</v>
      </c>
      <c r="AA140" t="str">
        <f ca="1">IF(Z140="","",INDEX(T_L2[LIST 2],HELP!H136))</f>
        <v>Dark Chocolate</v>
      </c>
      <c r="AB140" t="str">
        <f t="shared" ca="1" si="3"/>
        <v>MCT Oil, - Dark Chocolate</v>
      </c>
    </row>
    <row r="141" spans="16:28" x14ac:dyDescent="0.2">
      <c r="P141" s="23" t="str">
        <f ca="1">IFERROR(IF(HELP!$F137&gt;N,"",INDEX(T_L1[],HELP!G137,1)
&amp;IF(N_LISTS=1,"",I_S&amp;INDEX(T_L2[],HELP!H137,1)
&amp;IF(N_LISTS=2,"",I_S&amp;INDEX(T_L3[],HELP!I137,1)
&amp;IF(N_LISTS=3,"",I_S&amp;INDEX(T_L4[],HELP!J137,1)
&amp;IF(N_LISTS=4,"",I_S&amp;INDEX(T_L5[],HELP!K137,1)
&amp;IF(N_LISTS=5,"",I_S&amp;INDEX(T_L6[],HELP!L137,1))))))),"")</f>
        <v>MCT Oil, -</v>
      </c>
      <c r="Z141" t="str">
        <f ca="1">IFERROR(INDEX(T_L1[LIST 1],HELP!G137),"")</f>
        <v>MCT Oil,</v>
      </c>
      <c r="AA141" t="str">
        <f ca="1">IF(Z141="","",INDEX(T_L2[LIST 2],HELP!H137))</f>
        <v>-</v>
      </c>
      <c r="AB141" t="str">
        <f t="shared" ca="1" si="3"/>
        <v>MCT Oil, - -</v>
      </c>
    </row>
    <row r="142" spans="16:28" x14ac:dyDescent="0.2">
      <c r="P142" s="7" t="str">
        <f ca="1">IFERROR(IF(HELP!$F138&gt;N,"",INDEX(T_L1[],HELP!G138,1)
&amp;IF(N_LISTS=1,"",I_S&amp;INDEX(T_L2[],HELP!H138,1)
&amp;IF(N_LISTS=2,"",I_S&amp;INDEX(T_L3[],HELP!I138,1)
&amp;IF(N_LISTS=3,"",I_S&amp;INDEX(T_L4[],HELP!J138,1)
&amp;IF(N_LISTS=4,"",I_S&amp;INDEX(T_L5[],HELP!K138,1)
&amp;IF(N_LISTS=5,"",I_S&amp;INDEX(T_L6[],HELP!L138,1))))))),"")</f>
        <v>Walnuts, Peanut Butter</v>
      </c>
      <c r="Z142" t="str">
        <f ca="1">IFERROR(INDEX(T_L1[LIST 1],HELP!G138),"")</f>
        <v>Walnuts,</v>
      </c>
      <c r="AA142" t="str">
        <f ca="1">IF(Z142="","",INDEX(T_L2[LIST 2],HELP!H138))</f>
        <v>Peanut Butter</v>
      </c>
      <c r="AB142" t="str">
        <f t="shared" ca="1" si="3"/>
        <v>Walnuts, - Peanut Butter</v>
      </c>
    </row>
    <row r="143" spans="16:28" x14ac:dyDescent="0.2">
      <c r="P143" s="7" t="str">
        <f ca="1">IFERROR(IF(HELP!$F139&gt;N,"",INDEX(T_L1[],HELP!G139,1)
&amp;IF(N_LISTS=1,"",I_S&amp;INDEX(T_L2[],HELP!H139,1)
&amp;IF(N_LISTS=2,"",I_S&amp;INDEX(T_L3[],HELP!I139,1)
&amp;IF(N_LISTS=3,"",I_S&amp;INDEX(T_L4[],HELP!J139,1)
&amp;IF(N_LISTS=4,"",I_S&amp;INDEX(T_L5[],HELP!K139,1)
&amp;IF(N_LISTS=5,"",I_S&amp;INDEX(T_L6[],HELP!L139,1))))))),"")</f>
        <v>Walnuts, Almond Butter</v>
      </c>
      <c r="Z143" t="str">
        <f ca="1">IFERROR(INDEX(T_L1[LIST 1],HELP!G139),"")</f>
        <v>Walnuts,</v>
      </c>
      <c r="AA143" t="str">
        <f ca="1">IF(Z143="","",INDEX(T_L2[LIST 2],HELP!H139))</f>
        <v>Almond Butter</v>
      </c>
      <c r="AB143" t="str">
        <f t="shared" ca="1" si="3"/>
        <v>Walnuts, - Almond Butter</v>
      </c>
    </row>
    <row r="144" spans="16:28" x14ac:dyDescent="0.2">
      <c r="P144" s="7" t="str">
        <f ca="1">IFERROR(IF(HELP!$F140&gt;N,"",INDEX(T_L1[],HELP!G140,1)
&amp;IF(N_LISTS=1,"",I_S&amp;INDEX(T_L2[],HELP!H140,1)
&amp;IF(N_LISTS=2,"",I_S&amp;INDEX(T_L3[],HELP!I140,1)
&amp;IF(N_LISTS=3,"",I_S&amp;INDEX(T_L4[],HELP!J140,1)
&amp;IF(N_LISTS=4,"",I_S&amp;INDEX(T_L5[],HELP!K140,1)
&amp;IF(N_LISTS=5,"",I_S&amp;INDEX(T_L6[],HELP!L140,1))))))),"")</f>
        <v>Walnuts, Cashew Butter</v>
      </c>
      <c r="Z144" t="str">
        <f ca="1">IFERROR(INDEX(T_L1[LIST 1],HELP!G140),"")</f>
        <v>Walnuts,</v>
      </c>
      <c r="AA144" t="str">
        <f ca="1">IF(Z144="","",INDEX(T_L2[LIST 2],HELP!H140))</f>
        <v>Cashew Butter</v>
      </c>
      <c r="AB144" t="str">
        <f t="shared" ca="1" si="3"/>
        <v>Walnuts, - Cashew Butter</v>
      </c>
    </row>
    <row r="145" spans="16:28" x14ac:dyDescent="0.2">
      <c r="P145" s="7" t="str">
        <f ca="1">IFERROR(IF(HELP!$F141&gt;N,"",INDEX(T_L1[],HELP!G141,1)
&amp;IF(N_LISTS=1,"",I_S&amp;INDEX(T_L2[],HELP!H141,1)
&amp;IF(N_LISTS=2,"",I_S&amp;INDEX(T_L3[],HELP!I141,1)
&amp;IF(N_LISTS=3,"",I_S&amp;INDEX(T_L4[],HELP!J141,1)
&amp;IF(N_LISTS=4,"",I_S&amp;INDEX(T_L5[],HELP!K141,1)
&amp;IF(N_LISTS=5,"",I_S&amp;INDEX(T_L6[],HELP!L141,1))))))),"")</f>
        <v>Walnuts, Chia Seeds</v>
      </c>
      <c r="Z145" t="str">
        <f ca="1">IFERROR(INDEX(T_L1[LIST 1],HELP!G141),"")</f>
        <v>Walnuts,</v>
      </c>
      <c r="AA145" t="str">
        <f ca="1">IF(Z145="","",INDEX(T_L2[LIST 2],HELP!H141))</f>
        <v>Chia Seeds</v>
      </c>
      <c r="AB145" t="str">
        <f t="shared" ca="1" si="3"/>
        <v>Walnuts, - Chia Seeds</v>
      </c>
    </row>
    <row r="146" spans="16:28" x14ac:dyDescent="0.2">
      <c r="P146" s="7" t="str">
        <f ca="1">IFERROR(IF(HELP!$F142&gt;N,"",INDEX(T_L1[],HELP!G142,1)
&amp;IF(N_LISTS=1,"",I_S&amp;INDEX(T_L2[],HELP!H142,1)
&amp;IF(N_LISTS=2,"",I_S&amp;INDEX(T_L3[],HELP!I142,1)
&amp;IF(N_LISTS=3,"",I_S&amp;INDEX(T_L4[],HELP!J142,1)
&amp;IF(N_LISTS=4,"",I_S&amp;INDEX(T_L5[],HELP!K142,1)
&amp;IF(N_LISTS=5,"",I_S&amp;INDEX(T_L6[],HELP!L142,1))))))),"")</f>
        <v>Walnuts, Flax Seeds</v>
      </c>
      <c r="Z146" t="str">
        <f ca="1">IFERROR(INDEX(T_L1[LIST 1],HELP!G142),"")</f>
        <v>Walnuts,</v>
      </c>
      <c r="AA146" t="str">
        <f ca="1">IF(Z146="","",INDEX(T_L2[LIST 2],HELP!H142))</f>
        <v>Flax Seeds</v>
      </c>
      <c r="AB146" t="str">
        <f t="shared" ca="1" si="3"/>
        <v>Walnuts, - Flax Seeds</v>
      </c>
    </row>
    <row r="147" spans="16:28" x14ac:dyDescent="0.2">
      <c r="P147" s="7" t="str">
        <f ca="1">IFERROR(IF(HELP!$F143&gt;N,"",INDEX(T_L1[],HELP!G143,1)
&amp;IF(N_LISTS=1,"",I_S&amp;INDEX(T_L2[],HELP!H143,1)
&amp;IF(N_LISTS=2,"",I_S&amp;INDEX(T_L3[],HELP!I143,1)
&amp;IF(N_LISTS=3,"",I_S&amp;INDEX(T_L4[],HELP!J143,1)
&amp;IF(N_LISTS=4,"",I_S&amp;INDEX(T_L5[],HELP!K143,1)
&amp;IF(N_LISTS=5,"",I_S&amp;INDEX(T_L6[],HELP!L143,1))))))),"")</f>
        <v>Walnuts, Hemp Seeds</v>
      </c>
      <c r="Z147" t="str">
        <f ca="1">IFERROR(INDEX(T_L1[LIST 1],HELP!G143),"")</f>
        <v>Walnuts,</v>
      </c>
      <c r="AA147" t="str">
        <f ca="1">IF(Z147="","",INDEX(T_L2[LIST 2],HELP!H143))</f>
        <v>Hemp Seeds</v>
      </c>
      <c r="AB147" t="str">
        <f t="shared" ca="1" si="3"/>
        <v>Walnuts, - Hemp Seeds</v>
      </c>
    </row>
    <row r="148" spans="16:28" x14ac:dyDescent="0.2">
      <c r="P148" s="7" t="str">
        <f ca="1">IFERROR(IF(HELP!$F144&gt;N,"",INDEX(T_L1[],HELP!G144,1)
&amp;IF(N_LISTS=1,"",I_S&amp;INDEX(T_L2[],HELP!H144,1)
&amp;IF(N_LISTS=2,"",I_S&amp;INDEX(T_L3[],HELP!I144,1)
&amp;IF(N_LISTS=3,"",I_S&amp;INDEX(T_L4[],HELP!J144,1)
&amp;IF(N_LISTS=4,"",I_S&amp;INDEX(T_L5[],HELP!K144,1)
&amp;IF(N_LISTS=5,"",I_S&amp;INDEX(T_L6[],HELP!L144,1))))))),"")</f>
        <v>Walnuts, Avocado</v>
      </c>
      <c r="Z148" t="str">
        <f ca="1">IFERROR(INDEX(T_L1[LIST 1],HELP!G144),"")</f>
        <v>Walnuts,</v>
      </c>
      <c r="AA148" t="str">
        <f ca="1">IF(Z148="","",INDEX(T_L2[LIST 2],HELP!H144))</f>
        <v>Avocado</v>
      </c>
      <c r="AB148" t="str">
        <f t="shared" ca="1" si="3"/>
        <v>Walnuts, - Avocado</v>
      </c>
    </row>
    <row r="149" spans="16:28" x14ac:dyDescent="0.2">
      <c r="P149" s="7" t="str">
        <f ca="1">IFERROR(IF(HELP!$F145&gt;N,"",INDEX(T_L1[],HELP!G145,1)
&amp;IF(N_LISTS=1,"",I_S&amp;INDEX(T_L2[],HELP!H145,1)
&amp;IF(N_LISTS=2,"",I_S&amp;INDEX(T_L3[],HELP!I145,1)
&amp;IF(N_LISTS=3,"",I_S&amp;INDEX(T_L4[],HELP!J145,1)
&amp;IF(N_LISTS=4,"",I_S&amp;INDEX(T_L5[],HELP!K145,1)
&amp;IF(N_LISTS=5,"",I_S&amp;INDEX(T_L6[],HELP!L145,1))))))),"")</f>
        <v>Walnuts, Coconut Oil</v>
      </c>
      <c r="Z149" t="str">
        <f ca="1">IFERROR(INDEX(T_L1[LIST 1],HELP!G145),"")</f>
        <v>Walnuts,</v>
      </c>
      <c r="AA149" t="str">
        <f ca="1">IF(Z149="","",INDEX(T_L2[LIST 2],HELP!H145))</f>
        <v>Coconut Oil</v>
      </c>
      <c r="AB149" t="str">
        <f t="shared" ca="1" si="3"/>
        <v>Walnuts, - Coconut Oil</v>
      </c>
    </row>
    <row r="150" spans="16:28" x14ac:dyDescent="0.2">
      <c r="P150" s="7" t="str">
        <f ca="1">IFERROR(IF(HELP!$F146&gt;N,"",INDEX(T_L1[],HELP!G146,1)
&amp;IF(N_LISTS=1,"",I_S&amp;INDEX(T_L2[],HELP!H146,1)
&amp;IF(N_LISTS=2,"",I_S&amp;INDEX(T_L3[],HELP!I146,1)
&amp;IF(N_LISTS=3,"",I_S&amp;INDEX(T_L4[],HELP!J146,1)
&amp;IF(N_LISTS=4,"",I_S&amp;INDEX(T_L5[],HELP!K146,1)
&amp;IF(N_LISTS=5,"",I_S&amp;INDEX(T_L6[],HELP!L146,1))))))),"")</f>
        <v>Walnuts, MCT Oil</v>
      </c>
      <c r="Z150" t="str">
        <f ca="1">IFERROR(INDEX(T_L1[LIST 1],HELP!G146),"")</f>
        <v>Walnuts,</v>
      </c>
      <c r="AA150" t="str">
        <f ca="1">IF(Z150="","",INDEX(T_L2[LIST 2],HELP!H146))</f>
        <v>MCT Oil</v>
      </c>
      <c r="AB150" t="str">
        <f t="shared" ca="1" si="3"/>
        <v>Walnuts, - MCT Oil</v>
      </c>
    </row>
    <row r="151" spans="16:28" x14ac:dyDescent="0.2">
      <c r="P151" s="7" t="str">
        <f ca="1">IFERROR(IF(HELP!$F147&gt;N,"",INDEX(T_L1[],HELP!G147,1)
&amp;IF(N_LISTS=1,"",I_S&amp;INDEX(T_L2[],HELP!H147,1)
&amp;IF(N_LISTS=2,"",I_S&amp;INDEX(T_L3[],HELP!I147,1)
&amp;IF(N_LISTS=3,"",I_S&amp;INDEX(T_L4[],HELP!J147,1)
&amp;IF(N_LISTS=4,"",I_S&amp;INDEX(T_L5[],HELP!K147,1)
&amp;IF(N_LISTS=5,"",I_S&amp;INDEX(T_L6[],HELP!L147,1))))))),"")</f>
        <v>Walnuts, Walnuts</v>
      </c>
      <c r="Z151" t="str">
        <f ca="1">IFERROR(INDEX(T_L1[LIST 1],HELP!G147),"")</f>
        <v>Walnuts,</v>
      </c>
      <c r="AA151" t="str">
        <f ca="1">IF(Z151="","",INDEX(T_L2[LIST 2],HELP!H147))</f>
        <v>Walnuts</v>
      </c>
      <c r="AB151" t="str">
        <f t="shared" ca="1" si="3"/>
        <v>Walnuts, - Walnuts</v>
      </c>
    </row>
    <row r="152" spans="16:28" x14ac:dyDescent="0.2">
      <c r="P152" s="7" t="str">
        <f ca="1">IFERROR(IF(HELP!$F148&gt;N,"",INDEX(T_L1[],HELP!G148,1)
&amp;IF(N_LISTS=1,"",I_S&amp;INDEX(T_L2[],HELP!H148,1)
&amp;IF(N_LISTS=2,"",I_S&amp;INDEX(T_L3[],HELP!I148,1)
&amp;IF(N_LISTS=3,"",I_S&amp;INDEX(T_L4[],HELP!J148,1)
&amp;IF(N_LISTS=4,"",I_S&amp;INDEX(T_L5[],HELP!K148,1)
&amp;IF(N_LISTS=5,"",I_S&amp;INDEX(T_L6[],HELP!L148,1))))))),"")</f>
        <v>Walnuts, Pecans</v>
      </c>
      <c r="Z152" t="str">
        <f ca="1">IFERROR(INDEX(T_L1[LIST 1],HELP!G148),"")</f>
        <v>Walnuts,</v>
      </c>
      <c r="AA152" t="str">
        <f ca="1">IF(Z152="","",INDEX(T_L2[LIST 2],HELP!H148))</f>
        <v>Pecans</v>
      </c>
      <c r="AB152" t="str">
        <f t="shared" ca="1" si="3"/>
        <v>Walnuts, - Pecans</v>
      </c>
    </row>
    <row r="153" spans="16:28" x14ac:dyDescent="0.2">
      <c r="P153" s="7" t="str">
        <f ca="1">IFERROR(IF(HELP!$F149&gt;N,"",INDEX(T_L1[],HELP!G149,1)
&amp;IF(N_LISTS=1,"",I_S&amp;INDEX(T_L2[],HELP!H149,1)
&amp;IF(N_LISTS=2,"",I_S&amp;INDEX(T_L3[],HELP!I149,1)
&amp;IF(N_LISTS=3,"",I_S&amp;INDEX(T_L4[],HELP!J149,1)
&amp;IF(N_LISTS=4,"",I_S&amp;INDEX(T_L5[],HELP!K149,1)
&amp;IF(N_LISTS=5,"",I_S&amp;INDEX(T_L6[],HELP!L149,1))))))),"")</f>
        <v>Walnuts, Macadamia Nuts</v>
      </c>
      <c r="Z153" t="str">
        <f ca="1">IFERROR(INDEX(T_L1[LIST 1],HELP!G149),"")</f>
        <v>Walnuts,</v>
      </c>
      <c r="AA153" t="str">
        <f ca="1">IF(Z153="","",INDEX(T_L2[LIST 2],HELP!H149))</f>
        <v>Macadamia Nuts</v>
      </c>
      <c r="AB153" t="str">
        <f t="shared" ca="1" si="3"/>
        <v>Walnuts, - Macadamia Nuts</v>
      </c>
    </row>
    <row r="154" spans="16:28" x14ac:dyDescent="0.2">
      <c r="P154" s="7" t="str">
        <f ca="1">IFERROR(IF(HELP!$F150&gt;N,"",INDEX(T_L1[],HELP!G150,1)
&amp;IF(N_LISTS=1,"",I_S&amp;INDEX(T_L2[],HELP!H150,1)
&amp;IF(N_LISTS=2,"",I_S&amp;INDEX(T_L3[],HELP!I150,1)
&amp;IF(N_LISTS=3,"",I_S&amp;INDEX(T_L4[],HELP!J150,1)
&amp;IF(N_LISTS=4,"",I_S&amp;INDEX(T_L5[],HELP!K150,1)
&amp;IF(N_LISTS=5,"",I_S&amp;INDEX(T_L6[],HELP!L150,1))))))),"")</f>
        <v>Walnuts, Tahini</v>
      </c>
      <c r="Z154" t="str">
        <f ca="1">IFERROR(INDEX(T_L1[LIST 1],HELP!G150),"")</f>
        <v>Walnuts,</v>
      </c>
      <c r="AA154" t="str">
        <f ca="1">IF(Z154="","",INDEX(T_L2[LIST 2],HELP!H150))</f>
        <v>Tahini</v>
      </c>
      <c r="AB154" t="str">
        <f t="shared" ca="1" si="3"/>
        <v>Walnuts, - Tahini</v>
      </c>
    </row>
    <row r="155" spans="16:28" x14ac:dyDescent="0.2">
      <c r="P155" s="7" t="str">
        <f ca="1">IFERROR(IF(HELP!$F151&gt;N,"",INDEX(T_L1[],HELP!G151,1)
&amp;IF(N_LISTS=1,"",I_S&amp;INDEX(T_L2[],HELP!H151,1)
&amp;IF(N_LISTS=2,"",I_S&amp;INDEX(T_L3[],HELP!I151,1)
&amp;IF(N_LISTS=3,"",I_S&amp;INDEX(T_L4[],HELP!J151,1)
&amp;IF(N_LISTS=4,"",I_S&amp;INDEX(T_L5[],HELP!K151,1)
&amp;IF(N_LISTS=5,"",I_S&amp;INDEX(T_L6[],HELP!L151,1))))))),"")</f>
        <v>Walnuts, Dark Chocolate</v>
      </c>
      <c r="Z155" t="str">
        <f ca="1">IFERROR(INDEX(T_L1[LIST 1],HELP!G151),"")</f>
        <v>Walnuts,</v>
      </c>
      <c r="AA155" t="str">
        <f ca="1">IF(Z155="","",INDEX(T_L2[LIST 2],HELP!H151))</f>
        <v>Dark Chocolate</v>
      </c>
      <c r="AB155" t="str">
        <f t="shared" ca="1" si="3"/>
        <v>Walnuts, - Dark Chocolate</v>
      </c>
    </row>
    <row r="156" spans="16:28" x14ac:dyDescent="0.2">
      <c r="P156" s="7" t="str">
        <f ca="1">IFERROR(IF(HELP!$F152&gt;N,"",INDEX(T_L1[],HELP!G152,1)
&amp;IF(N_LISTS=1,"",I_S&amp;INDEX(T_L2[],HELP!H152,1)
&amp;IF(N_LISTS=2,"",I_S&amp;INDEX(T_L3[],HELP!I152,1)
&amp;IF(N_LISTS=3,"",I_S&amp;INDEX(T_L4[],HELP!J152,1)
&amp;IF(N_LISTS=4,"",I_S&amp;INDEX(T_L5[],HELP!K152,1)
&amp;IF(N_LISTS=5,"",I_S&amp;INDEX(T_L6[],HELP!L152,1))))))),"")</f>
        <v>Walnuts, -</v>
      </c>
      <c r="Z156" t="str">
        <f ca="1">IFERROR(INDEX(T_L1[LIST 1],HELP!G152),"")</f>
        <v>Walnuts,</v>
      </c>
      <c r="AA156" t="str">
        <f ca="1">IF(Z156="","",INDEX(T_L2[LIST 2],HELP!H152))</f>
        <v>-</v>
      </c>
      <c r="AB156" t="str">
        <f t="shared" ca="1" si="3"/>
        <v>Walnuts, - -</v>
      </c>
    </row>
    <row r="157" spans="16:28" x14ac:dyDescent="0.2">
      <c r="P157" s="7" t="str">
        <f ca="1">IFERROR(IF(HELP!$F153&gt;N,"",INDEX(T_L1[],HELP!G153,1)
&amp;IF(N_LISTS=1,"",I_S&amp;INDEX(T_L2[],HELP!H153,1)
&amp;IF(N_LISTS=2,"",I_S&amp;INDEX(T_L3[],HELP!I153,1)
&amp;IF(N_LISTS=3,"",I_S&amp;INDEX(T_L4[],HELP!J153,1)
&amp;IF(N_LISTS=4,"",I_S&amp;INDEX(T_L5[],HELP!K153,1)
&amp;IF(N_LISTS=5,"",I_S&amp;INDEX(T_L6[],HELP!L153,1))))))),"")</f>
        <v>Pecans, Peanut Butter</v>
      </c>
      <c r="Z157" t="str">
        <f ca="1">IFERROR(INDEX(T_L1[LIST 1],HELP!G153),"")</f>
        <v>Pecans,</v>
      </c>
      <c r="AA157" t="str">
        <f ca="1">IF(Z157="","",INDEX(T_L2[LIST 2],HELP!H153))</f>
        <v>Peanut Butter</v>
      </c>
      <c r="AB157" t="str">
        <f t="shared" ca="1" si="3"/>
        <v>Pecans, - Peanut Butter</v>
      </c>
    </row>
    <row r="158" spans="16:28" x14ac:dyDescent="0.2">
      <c r="P158" s="7" t="str">
        <f ca="1">IFERROR(IF(HELP!$F154&gt;N,"",INDEX(T_L1[],HELP!G154,1)
&amp;IF(N_LISTS=1,"",I_S&amp;INDEX(T_L2[],HELP!H154,1)
&amp;IF(N_LISTS=2,"",I_S&amp;INDEX(T_L3[],HELP!I154,1)
&amp;IF(N_LISTS=3,"",I_S&amp;INDEX(T_L4[],HELP!J154,1)
&amp;IF(N_LISTS=4,"",I_S&amp;INDEX(T_L5[],HELP!K154,1)
&amp;IF(N_LISTS=5,"",I_S&amp;INDEX(T_L6[],HELP!L154,1))))))),"")</f>
        <v>Pecans, Almond Butter</v>
      </c>
      <c r="Z158" t="str">
        <f ca="1">IFERROR(INDEX(T_L1[LIST 1],HELP!G154),"")</f>
        <v>Pecans,</v>
      </c>
      <c r="AA158" t="str">
        <f ca="1">IF(Z158="","",INDEX(T_L2[LIST 2],HELP!H154))</f>
        <v>Almond Butter</v>
      </c>
      <c r="AB158" t="str">
        <f t="shared" ca="1" si="3"/>
        <v>Pecans, - Almond Butter</v>
      </c>
    </row>
    <row r="159" spans="16:28" x14ac:dyDescent="0.2">
      <c r="P159" s="7" t="str">
        <f ca="1">IFERROR(IF(HELP!$F155&gt;N,"",INDEX(T_L1[],HELP!G155,1)
&amp;IF(N_LISTS=1,"",I_S&amp;INDEX(T_L2[],HELP!H155,1)
&amp;IF(N_LISTS=2,"",I_S&amp;INDEX(T_L3[],HELP!I155,1)
&amp;IF(N_LISTS=3,"",I_S&amp;INDEX(T_L4[],HELP!J155,1)
&amp;IF(N_LISTS=4,"",I_S&amp;INDEX(T_L5[],HELP!K155,1)
&amp;IF(N_LISTS=5,"",I_S&amp;INDEX(T_L6[],HELP!L155,1))))))),"")</f>
        <v>Pecans, Cashew Butter</v>
      </c>
      <c r="Z159" t="str">
        <f ca="1">IFERROR(INDEX(T_L1[LIST 1],HELP!G155),"")</f>
        <v>Pecans,</v>
      </c>
      <c r="AA159" t="str">
        <f ca="1">IF(Z159="","",INDEX(T_L2[LIST 2],HELP!H155))</f>
        <v>Cashew Butter</v>
      </c>
      <c r="AB159" t="str">
        <f t="shared" ca="1" si="3"/>
        <v>Pecans, - Cashew Butter</v>
      </c>
    </row>
    <row r="160" spans="16:28" x14ac:dyDescent="0.2">
      <c r="P160" s="7" t="str">
        <f ca="1">IFERROR(IF(HELP!$F156&gt;N,"",INDEX(T_L1[],HELP!G156,1)
&amp;IF(N_LISTS=1,"",I_S&amp;INDEX(T_L2[],HELP!H156,1)
&amp;IF(N_LISTS=2,"",I_S&amp;INDEX(T_L3[],HELP!I156,1)
&amp;IF(N_LISTS=3,"",I_S&amp;INDEX(T_L4[],HELP!J156,1)
&amp;IF(N_LISTS=4,"",I_S&amp;INDEX(T_L5[],HELP!K156,1)
&amp;IF(N_LISTS=5,"",I_S&amp;INDEX(T_L6[],HELP!L156,1))))))),"")</f>
        <v>Pecans, Chia Seeds</v>
      </c>
      <c r="Z160" t="str">
        <f ca="1">IFERROR(INDEX(T_L1[LIST 1],HELP!G156),"")</f>
        <v>Pecans,</v>
      </c>
      <c r="AA160" t="str">
        <f ca="1">IF(Z160="","",INDEX(T_L2[LIST 2],HELP!H156))</f>
        <v>Chia Seeds</v>
      </c>
      <c r="AB160" t="str">
        <f t="shared" ca="1" si="3"/>
        <v>Pecans, - Chia Seeds</v>
      </c>
    </row>
    <row r="161" spans="16:28" x14ac:dyDescent="0.2">
      <c r="P161" s="7" t="str">
        <f ca="1">IFERROR(IF(HELP!$F157&gt;N,"",INDEX(T_L1[],HELP!G157,1)
&amp;IF(N_LISTS=1,"",I_S&amp;INDEX(T_L2[],HELP!H157,1)
&amp;IF(N_LISTS=2,"",I_S&amp;INDEX(T_L3[],HELP!I157,1)
&amp;IF(N_LISTS=3,"",I_S&amp;INDEX(T_L4[],HELP!J157,1)
&amp;IF(N_LISTS=4,"",I_S&amp;INDEX(T_L5[],HELP!K157,1)
&amp;IF(N_LISTS=5,"",I_S&amp;INDEX(T_L6[],HELP!L157,1))))))),"")</f>
        <v>Pecans, Flax Seeds</v>
      </c>
      <c r="Z161" t="str">
        <f ca="1">IFERROR(INDEX(T_L1[LIST 1],HELP!G157),"")</f>
        <v>Pecans,</v>
      </c>
      <c r="AA161" t="str">
        <f ca="1">IF(Z161="","",INDEX(T_L2[LIST 2],HELP!H157))</f>
        <v>Flax Seeds</v>
      </c>
      <c r="AB161" t="str">
        <f t="shared" ca="1" si="3"/>
        <v>Pecans, - Flax Seeds</v>
      </c>
    </row>
    <row r="162" spans="16:28" x14ac:dyDescent="0.2">
      <c r="P162" s="7" t="str">
        <f ca="1">IFERROR(IF(HELP!$F158&gt;N,"",INDEX(T_L1[],HELP!G158,1)
&amp;IF(N_LISTS=1,"",I_S&amp;INDEX(T_L2[],HELP!H158,1)
&amp;IF(N_LISTS=2,"",I_S&amp;INDEX(T_L3[],HELP!I158,1)
&amp;IF(N_LISTS=3,"",I_S&amp;INDEX(T_L4[],HELP!J158,1)
&amp;IF(N_LISTS=4,"",I_S&amp;INDEX(T_L5[],HELP!K158,1)
&amp;IF(N_LISTS=5,"",I_S&amp;INDEX(T_L6[],HELP!L158,1))))))),"")</f>
        <v>Pecans, Hemp Seeds</v>
      </c>
      <c r="Z162" t="str">
        <f ca="1">IFERROR(INDEX(T_L1[LIST 1],HELP!G158),"")</f>
        <v>Pecans,</v>
      </c>
      <c r="AA162" t="str">
        <f ca="1">IF(Z162="","",INDEX(T_L2[LIST 2],HELP!H158))</f>
        <v>Hemp Seeds</v>
      </c>
      <c r="AB162" t="str">
        <f t="shared" ca="1" si="3"/>
        <v>Pecans, - Hemp Seeds</v>
      </c>
    </row>
    <row r="163" spans="16:28" x14ac:dyDescent="0.2">
      <c r="P163" s="7" t="str">
        <f ca="1">IFERROR(IF(HELP!$F159&gt;N,"",INDEX(T_L1[],HELP!G159,1)
&amp;IF(N_LISTS=1,"",I_S&amp;INDEX(T_L2[],HELP!H159,1)
&amp;IF(N_LISTS=2,"",I_S&amp;INDEX(T_L3[],HELP!I159,1)
&amp;IF(N_LISTS=3,"",I_S&amp;INDEX(T_L4[],HELP!J159,1)
&amp;IF(N_LISTS=4,"",I_S&amp;INDEX(T_L5[],HELP!K159,1)
&amp;IF(N_LISTS=5,"",I_S&amp;INDEX(T_L6[],HELP!L159,1))))))),"")</f>
        <v>Pecans, Avocado</v>
      </c>
      <c r="Z163" t="str">
        <f ca="1">IFERROR(INDEX(T_L1[LIST 1],HELP!G159),"")</f>
        <v>Pecans,</v>
      </c>
      <c r="AA163" t="str">
        <f ca="1">IF(Z163="","",INDEX(T_L2[LIST 2],HELP!H159))</f>
        <v>Avocado</v>
      </c>
      <c r="AB163" t="str">
        <f t="shared" ca="1" si="3"/>
        <v>Pecans, - Avocado</v>
      </c>
    </row>
    <row r="164" spans="16:28" x14ac:dyDescent="0.2">
      <c r="P164" s="7" t="str">
        <f ca="1">IFERROR(IF(HELP!$F160&gt;N,"",INDEX(T_L1[],HELP!G160,1)
&amp;IF(N_LISTS=1,"",I_S&amp;INDEX(T_L2[],HELP!H160,1)
&amp;IF(N_LISTS=2,"",I_S&amp;INDEX(T_L3[],HELP!I160,1)
&amp;IF(N_LISTS=3,"",I_S&amp;INDEX(T_L4[],HELP!J160,1)
&amp;IF(N_LISTS=4,"",I_S&amp;INDEX(T_L5[],HELP!K160,1)
&amp;IF(N_LISTS=5,"",I_S&amp;INDEX(T_L6[],HELP!L160,1))))))),"")</f>
        <v>Pecans, Coconut Oil</v>
      </c>
      <c r="Z164" t="str">
        <f ca="1">IFERROR(INDEX(T_L1[LIST 1],HELP!G160),"")</f>
        <v>Pecans,</v>
      </c>
      <c r="AA164" t="str">
        <f ca="1">IF(Z164="","",INDEX(T_L2[LIST 2],HELP!H160))</f>
        <v>Coconut Oil</v>
      </c>
      <c r="AB164" t="str">
        <f t="shared" ca="1" si="3"/>
        <v>Pecans, - Coconut Oil</v>
      </c>
    </row>
    <row r="165" spans="16:28" x14ac:dyDescent="0.2">
      <c r="P165" s="7" t="str">
        <f ca="1">IFERROR(IF(HELP!$F161&gt;N,"",INDEX(T_L1[],HELP!G161,1)
&amp;IF(N_LISTS=1,"",I_S&amp;INDEX(T_L2[],HELP!H161,1)
&amp;IF(N_LISTS=2,"",I_S&amp;INDEX(T_L3[],HELP!I161,1)
&amp;IF(N_LISTS=3,"",I_S&amp;INDEX(T_L4[],HELP!J161,1)
&amp;IF(N_LISTS=4,"",I_S&amp;INDEX(T_L5[],HELP!K161,1)
&amp;IF(N_LISTS=5,"",I_S&amp;INDEX(T_L6[],HELP!L161,1))))))),"")</f>
        <v>Pecans, MCT Oil</v>
      </c>
      <c r="Z165" t="str">
        <f ca="1">IFERROR(INDEX(T_L1[LIST 1],HELP!G161),"")</f>
        <v>Pecans,</v>
      </c>
      <c r="AA165" t="str">
        <f ca="1">IF(Z165="","",INDEX(T_L2[LIST 2],HELP!H161))</f>
        <v>MCT Oil</v>
      </c>
      <c r="AB165" t="str">
        <f t="shared" ref="AB165:AB228" ca="1" si="4">Z165&amp;" - "&amp;AA165</f>
        <v>Pecans, - MCT Oil</v>
      </c>
    </row>
    <row r="166" spans="16:28" x14ac:dyDescent="0.2">
      <c r="P166" s="7" t="str">
        <f ca="1">IFERROR(IF(HELP!$F162&gt;N,"",INDEX(T_L1[],HELP!G162,1)
&amp;IF(N_LISTS=1,"",I_S&amp;INDEX(T_L2[],HELP!H162,1)
&amp;IF(N_LISTS=2,"",I_S&amp;INDEX(T_L3[],HELP!I162,1)
&amp;IF(N_LISTS=3,"",I_S&amp;INDEX(T_L4[],HELP!J162,1)
&amp;IF(N_LISTS=4,"",I_S&amp;INDEX(T_L5[],HELP!K162,1)
&amp;IF(N_LISTS=5,"",I_S&amp;INDEX(T_L6[],HELP!L162,1))))))),"")</f>
        <v>Pecans, Walnuts</v>
      </c>
      <c r="Z166" t="str">
        <f ca="1">IFERROR(INDEX(T_L1[LIST 1],HELP!G162),"")</f>
        <v>Pecans,</v>
      </c>
      <c r="AA166" t="str">
        <f ca="1">IF(Z166="","",INDEX(T_L2[LIST 2],HELP!H162))</f>
        <v>Walnuts</v>
      </c>
      <c r="AB166" t="str">
        <f t="shared" ca="1" si="4"/>
        <v>Pecans, - Walnuts</v>
      </c>
    </row>
    <row r="167" spans="16:28" x14ac:dyDescent="0.2">
      <c r="P167" s="7" t="str">
        <f ca="1">IFERROR(IF(HELP!$F163&gt;N,"",INDEX(T_L1[],HELP!G163,1)
&amp;IF(N_LISTS=1,"",I_S&amp;INDEX(T_L2[],HELP!H163,1)
&amp;IF(N_LISTS=2,"",I_S&amp;INDEX(T_L3[],HELP!I163,1)
&amp;IF(N_LISTS=3,"",I_S&amp;INDEX(T_L4[],HELP!J163,1)
&amp;IF(N_LISTS=4,"",I_S&amp;INDEX(T_L5[],HELP!K163,1)
&amp;IF(N_LISTS=5,"",I_S&amp;INDEX(T_L6[],HELP!L163,1))))))),"")</f>
        <v>Pecans, Pecans</v>
      </c>
      <c r="Z167" t="str">
        <f ca="1">IFERROR(INDEX(T_L1[LIST 1],HELP!G163),"")</f>
        <v>Pecans,</v>
      </c>
      <c r="AA167" t="str">
        <f ca="1">IF(Z167="","",INDEX(T_L2[LIST 2],HELP!H163))</f>
        <v>Pecans</v>
      </c>
      <c r="AB167" t="str">
        <f t="shared" ca="1" si="4"/>
        <v>Pecans, - Pecans</v>
      </c>
    </row>
    <row r="168" spans="16:28" x14ac:dyDescent="0.2">
      <c r="P168" s="7" t="str">
        <f ca="1">IFERROR(IF(HELP!$F164&gt;N,"",INDEX(T_L1[],HELP!G164,1)
&amp;IF(N_LISTS=1,"",I_S&amp;INDEX(T_L2[],HELP!H164,1)
&amp;IF(N_LISTS=2,"",I_S&amp;INDEX(T_L3[],HELP!I164,1)
&amp;IF(N_LISTS=3,"",I_S&amp;INDEX(T_L4[],HELP!J164,1)
&amp;IF(N_LISTS=4,"",I_S&amp;INDEX(T_L5[],HELP!K164,1)
&amp;IF(N_LISTS=5,"",I_S&amp;INDEX(T_L6[],HELP!L164,1))))))),"")</f>
        <v>Pecans, Macadamia Nuts</v>
      </c>
      <c r="Z168" t="str">
        <f ca="1">IFERROR(INDEX(T_L1[LIST 1],HELP!G164),"")</f>
        <v>Pecans,</v>
      </c>
      <c r="AA168" t="str">
        <f ca="1">IF(Z168="","",INDEX(T_L2[LIST 2],HELP!H164))</f>
        <v>Macadamia Nuts</v>
      </c>
      <c r="AB168" t="str">
        <f t="shared" ca="1" si="4"/>
        <v>Pecans, - Macadamia Nuts</v>
      </c>
    </row>
    <row r="169" spans="16:28" x14ac:dyDescent="0.2">
      <c r="P169" s="7" t="str">
        <f ca="1">IFERROR(IF(HELP!$F165&gt;N,"",INDEX(T_L1[],HELP!G165,1)
&amp;IF(N_LISTS=1,"",I_S&amp;INDEX(T_L2[],HELP!H165,1)
&amp;IF(N_LISTS=2,"",I_S&amp;INDEX(T_L3[],HELP!I165,1)
&amp;IF(N_LISTS=3,"",I_S&amp;INDEX(T_L4[],HELP!J165,1)
&amp;IF(N_LISTS=4,"",I_S&amp;INDEX(T_L5[],HELP!K165,1)
&amp;IF(N_LISTS=5,"",I_S&amp;INDEX(T_L6[],HELP!L165,1))))))),"")</f>
        <v>Pecans, Tahini</v>
      </c>
      <c r="Z169" t="str">
        <f ca="1">IFERROR(INDEX(T_L1[LIST 1],HELP!G165),"")</f>
        <v>Pecans,</v>
      </c>
      <c r="AA169" t="str">
        <f ca="1">IF(Z169="","",INDEX(T_L2[LIST 2],HELP!H165))</f>
        <v>Tahini</v>
      </c>
      <c r="AB169" t="str">
        <f t="shared" ca="1" si="4"/>
        <v>Pecans, - Tahini</v>
      </c>
    </row>
    <row r="170" spans="16:28" x14ac:dyDescent="0.2">
      <c r="P170" s="7" t="str">
        <f ca="1">IFERROR(IF(HELP!$F166&gt;N,"",INDEX(T_L1[],HELP!G166,1)
&amp;IF(N_LISTS=1,"",I_S&amp;INDEX(T_L2[],HELP!H166,1)
&amp;IF(N_LISTS=2,"",I_S&amp;INDEX(T_L3[],HELP!I166,1)
&amp;IF(N_LISTS=3,"",I_S&amp;INDEX(T_L4[],HELP!J166,1)
&amp;IF(N_LISTS=4,"",I_S&amp;INDEX(T_L5[],HELP!K166,1)
&amp;IF(N_LISTS=5,"",I_S&amp;INDEX(T_L6[],HELP!L166,1))))))),"")</f>
        <v>Pecans, Dark Chocolate</v>
      </c>
      <c r="Z170" t="str">
        <f ca="1">IFERROR(INDEX(T_L1[LIST 1],HELP!G166),"")</f>
        <v>Pecans,</v>
      </c>
      <c r="AA170" t="str">
        <f ca="1">IF(Z170="","",INDEX(T_L2[LIST 2],HELP!H166))</f>
        <v>Dark Chocolate</v>
      </c>
      <c r="AB170" t="str">
        <f t="shared" ca="1" si="4"/>
        <v>Pecans, - Dark Chocolate</v>
      </c>
    </row>
    <row r="171" spans="16:28" x14ac:dyDescent="0.2">
      <c r="P171" s="7" t="str">
        <f ca="1">IFERROR(IF(HELP!$F167&gt;N,"",INDEX(T_L1[],HELP!G167,1)
&amp;IF(N_LISTS=1,"",I_S&amp;INDEX(T_L2[],HELP!H167,1)
&amp;IF(N_LISTS=2,"",I_S&amp;INDEX(T_L3[],HELP!I167,1)
&amp;IF(N_LISTS=3,"",I_S&amp;INDEX(T_L4[],HELP!J167,1)
&amp;IF(N_LISTS=4,"",I_S&amp;INDEX(T_L5[],HELP!K167,1)
&amp;IF(N_LISTS=5,"",I_S&amp;INDEX(T_L6[],HELP!L167,1))))))),"")</f>
        <v>Pecans, -</v>
      </c>
      <c r="Z171" t="str">
        <f ca="1">IFERROR(INDEX(T_L1[LIST 1],HELP!G167),"")</f>
        <v>Pecans,</v>
      </c>
      <c r="AA171" t="str">
        <f ca="1">IF(Z171="","",INDEX(T_L2[LIST 2],HELP!H167))</f>
        <v>-</v>
      </c>
      <c r="AB171" t="str">
        <f t="shared" ca="1" si="4"/>
        <v>Pecans, - -</v>
      </c>
    </row>
    <row r="172" spans="16:28" x14ac:dyDescent="0.2">
      <c r="P172" s="7" t="str">
        <f ca="1">IFERROR(IF(HELP!$F168&gt;N,"",INDEX(T_L1[],HELP!G168,1)
&amp;IF(N_LISTS=1,"",I_S&amp;INDEX(T_L2[],HELP!H168,1)
&amp;IF(N_LISTS=2,"",I_S&amp;INDEX(T_L3[],HELP!I168,1)
&amp;IF(N_LISTS=3,"",I_S&amp;INDEX(T_L4[],HELP!J168,1)
&amp;IF(N_LISTS=4,"",I_S&amp;INDEX(T_L5[],HELP!K168,1)
&amp;IF(N_LISTS=5,"",I_S&amp;INDEX(T_L6[],HELP!L168,1))))))),"")</f>
        <v>Macadamia Nuts, Peanut Butter</v>
      </c>
      <c r="Z172" t="str">
        <f ca="1">IFERROR(INDEX(T_L1[LIST 1],HELP!G168),"")</f>
        <v>Macadamia Nuts,</v>
      </c>
      <c r="AA172" t="str">
        <f ca="1">IF(Z172="","",INDEX(T_L2[LIST 2],HELP!H168))</f>
        <v>Peanut Butter</v>
      </c>
      <c r="AB172" t="str">
        <f t="shared" ca="1" si="4"/>
        <v>Macadamia Nuts, - Peanut Butter</v>
      </c>
    </row>
    <row r="173" spans="16:28" x14ac:dyDescent="0.2">
      <c r="P173" s="7" t="str">
        <f ca="1">IFERROR(IF(HELP!$F169&gt;N,"",INDEX(T_L1[],HELP!G169,1)
&amp;IF(N_LISTS=1,"",I_S&amp;INDEX(T_L2[],HELP!H169,1)
&amp;IF(N_LISTS=2,"",I_S&amp;INDEX(T_L3[],HELP!I169,1)
&amp;IF(N_LISTS=3,"",I_S&amp;INDEX(T_L4[],HELP!J169,1)
&amp;IF(N_LISTS=4,"",I_S&amp;INDEX(T_L5[],HELP!K169,1)
&amp;IF(N_LISTS=5,"",I_S&amp;INDEX(T_L6[],HELP!L169,1))))))),"")</f>
        <v>Macadamia Nuts, Almond Butter</v>
      </c>
      <c r="Z173" t="str">
        <f ca="1">IFERROR(INDEX(T_L1[LIST 1],HELP!G169),"")</f>
        <v>Macadamia Nuts,</v>
      </c>
      <c r="AA173" t="str">
        <f ca="1">IF(Z173="","",INDEX(T_L2[LIST 2],HELP!H169))</f>
        <v>Almond Butter</v>
      </c>
      <c r="AB173" t="str">
        <f t="shared" ca="1" si="4"/>
        <v>Macadamia Nuts, - Almond Butter</v>
      </c>
    </row>
    <row r="174" spans="16:28" x14ac:dyDescent="0.2">
      <c r="P174" s="7" t="str">
        <f ca="1">IFERROR(IF(HELP!$F170&gt;N,"",INDEX(T_L1[],HELP!G170,1)
&amp;IF(N_LISTS=1,"",I_S&amp;INDEX(T_L2[],HELP!H170,1)
&amp;IF(N_LISTS=2,"",I_S&amp;INDEX(T_L3[],HELP!I170,1)
&amp;IF(N_LISTS=3,"",I_S&amp;INDEX(T_L4[],HELP!J170,1)
&amp;IF(N_LISTS=4,"",I_S&amp;INDEX(T_L5[],HELP!K170,1)
&amp;IF(N_LISTS=5,"",I_S&amp;INDEX(T_L6[],HELP!L170,1))))))),"")</f>
        <v>Macadamia Nuts, Cashew Butter</v>
      </c>
      <c r="Z174" t="str">
        <f ca="1">IFERROR(INDEX(T_L1[LIST 1],HELP!G170),"")</f>
        <v>Macadamia Nuts,</v>
      </c>
      <c r="AA174" t="str">
        <f ca="1">IF(Z174="","",INDEX(T_L2[LIST 2],HELP!H170))</f>
        <v>Cashew Butter</v>
      </c>
      <c r="AB174" t="str">
        <f t="shared" ca="1" si="4"/>
        <v>Macadamia Nuts, - Cashew Butter</v>
      </c>
    </row>
    <row r="175" spans="16:28" x14ac:dyDescent="0.2">
      <c r="P175" s="7" t="str">
        <f ca="1">IFERROR(IF(HELP!$F171&gt;N,"",INDEX(T_L1[],HELP!G171,1)
&amp;IF(N_LISTS=1,"",I_S&amp;INDEX(T_L2[],HELP!H171,1)
&amp;IF(N_LISTS=2,"",I_S&amp;INDEX(T_L3[],HELP!I171,1)
&amp;IF(N_LISTS=3,"",I_S&amp;INDEX(T_L4[],HELP!J171,1)
&amp;IF(N_LISTS=4,"",I_S&amp;INDEX(T_L5[],HELP!K171,1)
&amp;IF(N_LISTS=5,"",I_S&amp;INDEX(T_L6[],HELP!L171,1))))))),"")</f>
        <v>Macadamia Nuts, Chia Seeds</v>
      </c>
      <c r="Z175" t="str">
        <f ca="1">IFERROR(INDEX(T_L1[LIST 1],HELP!G171),"")</f>
        <v>Macadamia Nuts,</v>
      </c>
      <c r="AA175" t="str">
        <f ca="1">IF(Z175="","",INDEX(T_L2[LIST 2],HELP!H171))</f>
        <v>Chia Seeds</v>
      </c>
      <c r="AB175" t="str">
        <f t="shared" ca="1" si="4"/>
        <v>Macadamia Nuts, - Chia Seeds</v>
      </c>
    </row>
    <row r="176" spans="16:28" x14ac:dyDescent="0.2">
      <c r="P176" s="7" t="str">
        <f ca="1">IFERROR(IF(HELP!$F172&gt;N,"",INDEX(T_L1[],HELP!G172,1)
&amp;IF(N_LISTS=1,"",I_S&amp;INDEX(T_L2[],HELP!H172,1)
&amp;IF(N_LISTS=2,"",I_S&amp;INDEX(T_L3[],HELP!I172,1)
&amp;IF(N_LISTS=3,"",I_S&amp;INDEX(T_L4[],HELP!J172,1)
&amp;IF(N_LISTS=4,"",I_S&amp;INDEX(T_L5[],HELP!K172,1)
&amp;IF(N_LISTS=5,"",I_S&amp;INDEX(T_L6[],HELP!L172,1))))))),"")</f>
        <v>Macadamia Nuts, Flax Seeds</v>
      </c>
      <c r="Z176" t="str">
        <f ca="1">IFERROR(INDEX(T_L1[LIST 1],HELP!G172),"")</f>
        <v>Macadamia Nuts,</v>
      </c>
      <c r="AA176" t="str">
        <f ca="1">IF(Z176="","",INDEX(T_L2[LIST 2],HELP!H172))</f>
        <v>Flax Seeds</v>
      </c>
      <c r="AB176" t="str">
        <f t="shared" ca="1" si="4"/>
        <v>Macadamia Nuts, - Flax Seeds</v>
      </c>
    </row>
    <row r="177" spans="16:28" x14ac:dyDescent="0.2">
      <c r="P177" s="7" t="str">
        <f ca="1">IFERROR(IF(HELP!$F173&gt;N,"",INDEX(T_L1[],HELP!G173,1)
&amp;IF(N_LISTS=1,"",I_S&amp;INDEX(T_L2[],HELP!H173,1)
&amp;IF(N_LISTS=2,"",I_S&amp;INDEX(T_L3[],HELP!I173,1)
&amp;IF(N_LISTS=3,"",I_S&amp;INDEX(T_L4[],HELP!J173,1)
&amp;IF(N_LISTS=4,"",I_S&amp;INDEX(T_L5[],HELP!K173,1)
&amp;IF(N_LISTS=5,"",I_S&amp;INDEX(T_L6[],HELP!L173,1))))))),"")</f>
        <v>Macadamia Nuts, Hemp Seeds</v>
      </c>
      <c r="Z177" t="str">
        <f ca="1">IFERROR(INDEX(T_L1[LIST 1],HELP!G173),"")</f>
        <v>Macadamia Nuts,</v>
      </c>
      <c r="AA177" t="str">
        <f ca="1">IF(Z177="","",INDEX(T_L2[LIST 2],HELP!H173))</f>
        <v>Hemp Seeds</v>
      </c>
      <c r="AB177" t="str">
        <f t="shared" ca="1" si="4"/>
        <v>Macadamia Nuts, - Hemp Seeds</v>
      </c>
    </row>
    <row r="178" spans="16:28" x14ac:dyDescent="0.2">
      <c r="P178" s="7" t="str">
        <f ca="1">IFERROR(IF(HELP!$F174&gt;N,"",INDEX(T_L1[],HELP!G174,1)
&amp;IF(N_LISTS=1,"",I_S&amp;INDEX(T_L2[],HELP!H174,1)
&amp;IF(N_LISTS=2,"",I_S&amp;INDEX(T_L3[],HELP!I174,1)
&amp;IF(N_LISTS=3,"",I_S&amp;INDEX(T_L4[],HELP!J174,1)
&amp;IF(N_LISTS=4,"",I_S&amp;INDEX(T_L5[],HELP!K174,1)
&amp;IF(N_LISTS=5,"",I_S&amp;INDEX(T_L6[],HELP!L174,1))))))),"")</f>
        <v>Macadamia Nuts, Avocado</v>
      </c>
      <c r="Z178" t="str">
        <f ca="1">IFERROR(INDEX(T_L1[LIST 1],HELP!G174),"")</f>
        <v>Macadamia Nuts,</v>
      </c>
      <c r="AA178" t="str">
        <f ca="1">IF(Z178="","",INDEX(T_L2[LIST 2],HELP!H174))</f>
        <v>Avocado</v>
      </c>
      <c r="AB178" t="str">
        <f t="shared" ca="1" si="4"/>
        <v>Macadamia Nuts, - Avocado</v>
      </c>
    </row>
    <row r="179" spans="16:28" x14ac:dyDescent="0.2">
      <c r="P179" s="7" t="str">
        <f ca="1">IFERROR(IF(HELP!$F175&gt;N,"",INDEX(T_L1[],HELP!G175,1)
&amp;IF(N_LISTS=1,"",I_S&amp;INDEX(T_L2[],HELP!H175,1)
&amp;IF(N_LISTS=2,"",I_S&amp;INDEX(T_L3[],HELP!I175,1)
&amp;IF(N_LISTS=3,"",I_S&amp;INDEX(T_L4[],HELP!J175,1)
&amp;IF(N_LISTS=4,"",I_S&amp;INDEX(T_L5[],HELP!K175,1)
&amp;IF(N_LISTS=5,"",I_S&amp;INDEX(T_L6[],HELP!L175,1))))))),"")</f>
        <v>Macadamia Nuts, Coconut Oil</v>
      </c>
      <c r="Z179" t="str">
        <f ca="1">IFERROR(INDEX(T_L1[LIST 1],HELP!G175),"")</f>
        <v>Macadamia Nuts,</v>
      </c>
      <c r="AA179" t="str">
        <f ca="1">IF(Z179="","",INDEX(T_L2[LIST 2],HELP!H175))</f>
        <v>Coconut Oil</v>
      </c>
      <c r="AB179" t="str">
        <f t="shared" ca="1" si="4"/>
        <v>Macadamia Nuts, - Coconut Oil</v>
      </c>
    </row>
    <row r="180" spans="16:28" x14ac:dyDescent="0.2">
      <c r="P180" s="7" t="str">
        <f ca="1">IFERROR(IF(HELP!$F176&gt;N,"",INDEX(T_L1[],HELP!G176,1)
&amp;IF(N_LISTS=1,"",I_S&amp;INDEX(T_L2[],HELP!H176,1)
&amp;IF(N_LISTS=2,"",I_S&amp;INDEX(T_L3[],HELP!I176,1)
&amp;IF(N_LISTS=3,"",I_S&amp;INDEX(T_L4[],HELP!J176,1)
&amp;IF(N_LISTS=4,"",I_S&amp;INDEX(T_L5[],HELP!K176,1)
&amp;IF(N_LISTS=5,"",I_S&amp;INDEX(T_L6[],HELP!L176,1))))))),"")</f>
        <v>Macadamia Nuts, MCT Oil</v>
      </c>
      <c r="Z180" t="str">
        <f ca="1">IFERROR(INDEX(T_L1[LIST 1],HELP!G176),"")</f>
        <v>Macadamia Nuts,</v>
      </c>
      <c r="AA180" t="str">
        <f ca="1">IF(Z180="","",INDEX(T_L2[LIST 2],HELP!H176))</f>
        <v>MCT Oil</v>
      </c>
      <c r="AB180" t="str">
        <f t="shared" ca="1" si="4"/>
        <v>Macadamia Nuts, - MCT Oil</v>
      </c>
    </row>
    <row r="181" spans="16:28" x14ac:dyDescent="0.2">
      <c r="P181" s="7" t="str">
        <f ca="1">IFERROR(IF(HELP!$F177&gt;N,"",INDEX(T_L1[],HELP!G177,1)
&amp;IF(N_LISTS=1,"",I_S&amp;INDEX(T_L2[],HELP!H177,1)
&amp;IF(N_LISTS=2,"",I_S&amp;INDEX(T_L3[],HELP!I177,1)
&amp;IF(N_LISTS=3,"",I_S&amp;INDEX(T_L4[],HELP!J177,1)
&amp;IF(N_LISTS=4,"",I_S&amp;INDEX(T_L5[],HELP!K177,1)
&amp;IF(N_LISTS=5,"",I_S&amp;INDEX(T_L6[],HELP!L177,1))))))),"")</f>
        <v>Macadamia Nuts, Walnuts</v>
      </c>
      <c r="Z181" t="str">
        <f ca="1">IFERROR(INDEX(T_L1[LIST 1],HELP!G177),"")</f>
        <v>Macadamia Nuts,</v>
      </c>
      <c r="AA181" t="str">
        <f ca="1">IF(Z181="","",INDEX(T_L2[LIST 2],HELP!H177))</f>
        <v>Walnuts</v>
      </c>
      <c r="AB181" t="str">
        <f t="shared" ca="1" si="4"/>
        <v>Macadamia Nuts, - Walnuts</v>
      </c>
    </row>
    <row r="182" spans="16:28" x14ac:dyDescent="0.2">
      <c r="P182" s="7" t="str">
        <f ca="1">IFERROR(IF(HELP!$F178&gt;N,"",INDEX(T_L1[],HELP!G178,1)
&amp;IF(N_LISTS=1,"",I_S&amp;INDEX(T_L2[],HELP!H178,1)
&amp;IF(N_LISTS=2,"",I_S&amp;INDEX(T_L3[],HELP!I178,1)
&amp;IF(N_LISTS=3,"",I_S&amp;INDEX(T_L4[],HELP!J178,1)
&amp;IF(N_LISTS=4,"",I_S&amp;INDEX(T_L5[],HELP!K178,1)
&amp;IF(N_LISTS=5,"",I_S&amp;INDEX(T_L6[],HELP!L178,1))))))),"")</f>
        <v>Macadamia Nuts, Pecans</v>
      </c>
      <c r="Z182" t="str">
        <f ca="1">IFERROR(INDEX(T_L1[LIST 1],HELP!G178),"")</f>
        <v>Macadamia Nuts,</v>
      </c>
      <c r="AA182" t="str">
        <f ca="1">IF(Z182="","",INDEX(T_L2[LIST 2],HELP!H178))</f>
        <v>Pecans</v>
      </c>
      <c r="AB182" t="str">
        <f t="shared" ca="1" si="4"/>
        <v>Macadamia Nuts, - Pecans</v>
      </c>
    </row>
    <row r="183" spans="16:28" x14ac:dyDescent="0.2">
      <c r="P183" s="7" t="str">
        <f ca="1">IFERROR(IF(HELP!$F179&gt;N,"",INDEX(T_L1[],HELP!G179,1)
&amp;IF(N_LISTS=1,"",I_S&amp;INDEX(T_L2[],HELP!H179,1)
&amp;IF(N_LISTS=2,"",I_S&amp;INDEX(T_L3[],HELP!I179,1)
&amp;IF(N_LISTS=3,"",I_S&amp;INDEX(T_L4[],HELP!J179,1)
&amp;IF(N_LISTS=4,"",I_S&amp;INDEX(T_L5[],HELP!K179,1)
&amp;IF(N_LISTS=5,"",I_S&amp;INDEX(T_L6[],HELP!L179,1))))))),"")</f>
        <v>Macadamia Nuts, Macadamia Nuts</v>
      </c>
      <c r="Z183" t="str">
        <f ca="1">IFERROR(INDEX(T_L1[LIST 1],HELP!G179),"")</f>
        <v>Macadamia Nuts,</v>
      </c>
      <c r="AA183" t="str">
        <f ca="1">IF(Z183="","",INDEX(T_L2[LIST 2],HELP!H179))</f>
        <v>Macadamia Nuts</v>
      </c>
      <c r="AB183" t="str">
        <f t="shared" ca="1" si="4"/>
        <v>Macadamia Nuts, - Macadamia Nuts</v>
      </c>
    </row>
    <row r="184" spans="16:28" x14ac:dyDescent="0.2">
      <c r="P184" s="7" t="str">
        <f ca="1">IFERROR(IF(HELP!$F180&gt;N,"",INDEX(T_L1[],HELP!G180,1)
&amp;IF(N_LISTS=1,"",I_S&amp;INDEX(T_L2[],HELP!H180,1)
&amp;IF(N_LISTS=2,"",I_S&amp;INDEX(T_L3[],HELP!I180,1)
&amp;IF(N_LISTS=3,"",I_S&amp;INDEX(T_L4[],HELP!J180,1)
&amp;IF(N_LISTS=4,"",I_S&amp;INDEX(T_L5[],HELP!K180,1)
&amp;IF(N_LISTS=5,"",I_S&amp;INDEX(T_L6[],HELP!L180,1))))))),"")</f>
        <v>Macadamia Nuts, Tahini</v>
      </c>
      <c r="Z184" t="str">
        <f ca="1">IFERROR(INDEX(T_L1[LIST 1],HELP!G180),"")</f>
        <v>Macadamia Nuts,</v>
      </c>
      <c r="AA184" t="str">
        <f ca="1">IF(Z184="","",INDEX(T_L2[LIST 2],HELP!H180))</f>
        <v>Tahini</v>
      </c>
      <c r="AB184" t="str">
        <f t="shared" ca="1" si="4"/>
        <v>Macadamia Nuts, - Tahini</v>
      </c>
    </row>
    <row r="185" spans="16:28" x14ac:dyDescent="0.2">
      <c r="P185" s="7" t="str">
        <f ca="1">IFERROR(IF(HELP!$F181&gt;N,"",INDEX(T_L1[],HELP!G181,1)
&amp;IF(N_LISTS=1,"",I_S&amp;INDEX(T_L2[],HELP!H181,1)
&amp;IF(N_LISTS=2,"",I_S&amp;INDEX(T_L3[],HELP!I181,1)
&amp;IF(N_LISTS=3,"",I_S&amp;INDEX(T_L4[],HELP!J181,1)
&amp;IF(N_LISTS=4,"",I_S&amp;INDEX(T_L5[],HELP!K181,1)
&amp;IF(N_LISTS=5,"",I_S&amp;INDEX(T_L6[],HELP!L181,1))))))),"")</f>
        <v>Macadamia Nuts, Dark Chocolate</v>
      </c>
      <c r="Z185" t="str">
        <f ca="1">IFERROR(INDEX(T_L1[LIST 1],HELP!G181),"")</f>
        <v>Macadamia Nuts,</v>
      </c>
      <c r="AA185" t="str">
        <f ca="1">IF(Z185="","",INDEX(T_L2[LIST 2],HELP!H181))</f>
        <v>Dark Chocolate</v>
      </c>
      <c r="AB185" t="str">
        <f t="shared" ca="1" si="4"/>
        <v>Macadamia Nuts, - Dark Chocolate</v>
      </c>
    </row>
    <row r="186" spans="16:28" x14ac:dyDescent="0.2">
      <c r="P186" s="7" t="str">
        <f ca="1">IFERROR(IF(HELP!$F182&gt;N,"",INDEX(T_L1[],HELP!G182,1)
&amp;IF(N_LISTS=1,"",I_S&amp;INDEX(T_L2[],HELP!H182,1)
&amp;IF(N_LISTS=2,"",I_S&amp;INDEX(T_L3[],HELP!I182,1)
&amp;IF(N_LISTS=3,"",I_S&amp;INDEX(T_L4[],HELP!J182,1)
&amp;IF(N_LISTS=4,"",I_S&amp;INDEX(T_L5[],HELP!K182,1)
&amp;IF(N_LISTS=5,"",I_S&amp;INDEX(T_L6[],HELP!L182,1))))))),"")</f>
        <v>Macadamia Nuts, -</v>
      </c>
      <c r="Z186" t="str">
        <f ca="1">IFERROR(INDEX(T_L1[LIST 1],HELP!G182),"")</f>
        <v>Macadamia Nuts,</v>
      </c>
      <c r="AA186" t="str">
        <f ca="1">IF(Z186="","",INDEX(T_L2[LIST 2],HELP!H182))</f>
        <v>-</v>
      </c>
      <c r="AB186" t="str">
        <f t="shared" ca="1" si="4"/>
        <v>Macadamia Nuts, - -</v>
      </c>
    </row>
    <row r="187" spans="16:28" x14ac:dyDescent="0.2">
      <c r="P187" s="7" t="str">
        <f ca="1">IFERROR(IF(HELP!$F183&gt;N,"",INDEX(T_L1[],HELP!G183,1)
&amp;IF(N_LISTS=1,"",I_S&amp;INDEX(T_L2[],HELP!H183,1)
&amp;IF(N_LISTS=2,"",I_S&amp;INDEX(T_L3[],HELP!I183,1)
&amp;IF(N_LISTS=3,"",I_S&amp;INDEX(T_L4[],HELP!J183,1)
&amp;IF(N_LISTS=4,"",I_S&amp;INDEX(T_L5[],HELP!K183,1)
&amp;IF(N_LISTS=5,"",I_S&amp;INDEX(T_L6[],HELP!L183,1))))))),"")</f>
        <v>Tahini, Peanut Butter</v>
      </c>
      <c r="Z187" t="str">
        <f ca="1">IFERROR(INDEX(T_L1[LIST 1],HELP!G183),"")</f>
        <v>Tahini,</v>
      </c>
      <c r="AA187" t="str">
        <f ca="1">IF(Z187="","",INDEX(T_L2[LIST 2],HELP!H183))</f>
        <v>Peanut Butter</v>
      </c>
      <c r="AB187" t="str">
        <f t="shared" ca="1" si="4"/>
        <v>Tahini, - Peanut Butter</v>
      </c>
    </row>
    <row r="188" spans="16:28" x14ac:dyDescent="0.2">
      <c r="P188" s="7" t="str">
        <f ca="1">IFERROR(IF(HELP!$F184&gt;N,"",INDEX(T_L1[],HELP!G184,1)
&amp;IF(N_LISTS=1,"",I_S&amp;INDEX(T_L2[],HELP!H184,1)
&amp;IF(N_LISTS=2,"",I_S&amp;INDEX(T_L3[],HELP!I184,1)
&amp;IF(N_LISTS=3,"",I_S&amp;INDEX(T_L4[],HELP!J184,1)
&amp;IF(N_LISTS=4,"",I_S&amp;INDEX(T_L5[],HELP!K184,1)
&amp;IF(N_LISTS=5,"",I_S&amp;INDEX(T_L6[],HELP!L184,1))))))),"")</f>
        <v>Tahini, Almond Butter</v>
      </c>
      <c r="Z188" t="str">
        <f ca="1">IFERROR(INDEX(T_L1[LIST 1],HELP!G184),"")</f>
        <v>Tahini,</v>
      </c>
      <c r="AA188" t="str">
        <f ca="1">IF(Z188="","",INDEX(T_L2[LIST 2],HELP!H184))</f>
        <v>Almond Butter</v>
      </c>
      <c r="AB188" t="str">
        <f t="shared" ca="1" si="4"/>
        <v>Tahini, - Almond Butter</v>
      </c>
    </row>
    <row r="189" spans="16:28" x14ac:dyDescent="0.2">
      <c r="P189" s="7" t="str">
        <f ca="1">IFERROR(IF(HELP!$F185&gt;N,"",INDEX(T_L1[],HELP!G185,1)
&amp;IF(N_LISTS=1,"",I_S&amp;INDEX(T_L2[],HELP!H185,1)
&amp;IF(N_LISTS=2,"",I_S&amp;INDEX(T_L3[],HELP!I185,1)
&amp;IF(N_LISTS=3,"",I_S&amp;INDEX(T_L4[],HELP!J185,1)
&amp;IF(N_LISTS=4,"",I_S&amp;INDEX(T_L5[],HELP!K185,1)
&amp;IF(N_LISTS=5,"",I_S&amp;INDEX(T_L6[],HELP!L185,1))))))),"")</f>
        <v>Tahini, Cashew Butter</v>
      </c>
      <c r="Z189" t="str">
        <f ca="1">IFERROR(INDEX(T_L1[LIST 1],HELP!G185),"")</f>
        <v>Tahini,</v>
      </c>
      <c r="AA189" t="str">
        <f ca="1">IF(Z189="","",INDEX(T_L2[LIST 2],HELP!H185))</f>
        <v>Cashew Butter</v>
      </c>
      <c r="AB189" t="str">
        <f t="shared" ca="1" si="4"/>
        <v>Tahini, - Cashew Butter</v>
      </c>
    </row>
    <row r="190" spans="16:28" x14ac:dyDescent="0.2">
      <c r="P190" s="7" t="str">
        <f ca="1">IFERROR(IF(HELP!$F186&gt;N,"",INDEX(T_L1[],HELP!G186,1)
&amp;IF(N_LISTS=1,"",I_S&amp;INDEX(T_L2[],HELP!H186,1)
&amp;IF(N_LISTS=2,"",I_S&amp;INDEX(T_L3[],HELP!I186,1)
&amp;IF(N_LISTS=3,"",I_S&amp;INDEX(T_L4[],HELP!J186,1)
&amp;IF(N_LISTS=4,"",I_S&amp;INDEX(T_L5[],HELP!K186,1)
&amp;IF(N_LISTS=5,"",I_S&amp;INDEX(T_L6[],HELP!L186,1))))))),"")</f>
        <v>Tahini, Chia Seeds</v>
      </c>
      <c r="Z190" t="str">
        <f ca="1">IFERROR(INDEX(T_L1[LIST 1],HELP!G186),"")</f>
        <v>Tahini,</v>
      </c>
      <c r="AA190" t="str">
        <f ca="1">IF(Z190="","",INDEX(T_L2[LIST 2],HELP!H186))</f>
        <v>Chia Seeds</v>
      </c>
      <c r="AB190" t="str">
        <f t="shared" ca="1" si="4"/>
        <v>Tahini, - Chia Seeds</v>
      </c>
    </row>
    <row r="191" spans="16:28" x14ac:dyDescent="0.2">
      <c r="P191" s="7" t="str">
        <f ca="1">IFERROR(IF(HELP!$F187&gt;N,"",INDEX(T_L1[],HELP!G187,1)
&amp;IF(N_LISTS=1,"",I_S&amp;INDEX(T_L2[],HELP!H187,1)
&amp;IF(N_LISTS=2,"",I_S&amp;INDEX(T_L3[],HELP!I187,1)
&amp;IF(N_LISTS=3,"",I_S&amp;INDEX(T_L4[],HELP!J187,1)
&amp;IF(N_LISTS=4,"",I_S&amp;INDEX(T_L5[],HELP!K187,1)
&amp;IF(N_LISTS=5,"",I_S&amp;INDEX(T_L6[],HELP!L187,1))))))),"")</f>
        <v>Tahini, Flax Seeds</v>
      </c>
      <c r="Z191" t="str">
        <f ca="1">IFERROR(INDEX(T_L1[LIST 1],HELP!G187),"")</f>
        <v>Tahini,</v>
      </c>
      <c r="AA191" t="str">
        <f ca="1">IF(Z191="","",INDEX(T_L2[LIST 2],HELP!H187))</f>
        <v>Flax Seeds</v>
      </c>
      <c r="AB191" t="str">
        <f t="shared" ca="1" si="4"/>
        <v>Tahini, - Flax Seeds</v>
      </c>
    </row>
    <row r="192" spans="16:28" x14ac:dyDescent="0.2">
      <c r="P192" s="7" t="str">
        <f ca="1">IFERROR(IF(HELP!$F188&gt;N,"",INDEX(T_L1[],HELP!G188,1)
&amp;IF(N_LISTS=1,"",I_S&amp;INDEX(T_L2[],HELP!H188,1)
&amp;IF(N_LISTS=2,"",I_S&amp;INDEX(T_L3[],HELP!I188,1)
&amp;IF(N_LISTS=3,"",I_S&amp;INDEX(T_L4[],HELP!J188,1)
&amp;IF(N_LISTS=4,"",I_S&amp;INDEX(T_L5[],HELP!K188,1)
&amp;IF(N_LISTS=5,"",I_S&amp;INDEX(T_L6[],HELP!L188,1))))))),"")</f>
        <v>Tahini, Hemp Seeds</v>
      </c>
      <c r="Z192" t="str">
        <f ca="1">IFERROR(INDEX(T_L1[LIST 1],HELP!G188),"")</f>
        <v>Tahini,</v>
      </c>
      <c r="AA192" t="str">
        <f ca="1">IF(Z192="","",INDEX(T_L2[LIST 2],HELP!H188))</f>
        <v>Hemp Seeds</v>
      </c>
      <c r="AB192" t="str">
        <f t="shared" ca="1" si="4"/>
        <v>Tahini, - Hemp Seeds</v>
      </c>
    </row>
    <row r="193" spans="16:28" x14ac:dyDescent="0.2">
      <c r="P193" s="7" t="str">
        <f ca="1">IFERROR(IF(HELP!$F189&gt;N,"",INDEX(T_L1[],HELP!G189,1)
&amp;IF(N_LISTS=1,"",I_S&amp;INDEX(T_L2[],HELP!H189,1)
&amp;IF(N_LISTS=2,"",I_S&amp;INDEX(T_L3[],HELP!I189,1)
&amp;IF(N_LISTS=3,"",I_S&amp;INDEX(T_L4[],HELP!J189,1)
&amp;IF(N_LISTS=4,"",I_S&amp;INDEX(T_L5[],HELP!K189,1)
&amp;IF(N_LISTS=5,"",I_S&amp;INDEX(T_L6[],HELP!L189,1))))))),"")</f>
        <v>Tahini, Avocado</v>
      </c>
      <c r="Z193" t="str">
        <f ca="1">IFERROR(INDEX(T_L1[LIST 1],HELP!G189),"")</f>
        <v>Tahini,</v>
      </c>
      <c r="AA193" t="str">
        <f ca="1">IF(Z193="","",INDEX(T_L2[LIST 2],HELP!H189))</f>
        <v>Avocado</v>
      </c>
      <c r="AB193" t="str">
        <f t="shared" ca="1" si="4"/>
        <v>Tahini, - Avocado</v>
      </c>
    </row>
    <row r="194" spans="16:28" x14ac:dyDescent="0.2">
      <c r="P194" s="7" t="str">
        <f ca="1">IFERROR(IF(HELP!$F190&gt;N,"",INDEX(T_L1[],HELP!G190,1)
&amp;IF(N_LISTS=1,"",I_S&amp;INDEX(T_L2[],HELP!H190,1)
&amp;IF(N_LISTS=2,"",I_S&amp;INDEX(T_L3[],HELP!I190,1)
&amp;IF(N_LISTS=3,"",I_S&amp;INDEX(T_L4[],HELP!J190,1)
&amp;IF(N_LISTS=4,"",I_S&amp;INDEX(T_L5[],HELP!K190,1)
&amp;IF(N_LISTS=5,"",I_S&amp;INDEX(T_L6[],HELP!L190,1))))))),"")</f>
        <v>Tahini, Coconut Oil</v>
      </c>
      <c r="Z194" t="str">
        <f ca="1">IFERROR(INDEX(T_L1[LIST 1],HELP!G190),"")</f>
        <v>Tahini,</v>
      </c>
      <c r="AA194" t="str">
        <f ca="1">IF(Z194="","",INDEX(T_L2[LIST 2],HELP!H190))</f>
        <v>Coconut Oil</v>
      </c>
      <c r="AB194" t="str">
        <f t="shared" ca="1" si="4"/>
        <v>Tahini, - Coconut Oil</v>
      </c>
    </row>
    <row r="195" spans="16:28" x14ac:dyDescent="0.2">
      <c r="P195" s="7" t="str">
        <f ca="1">IFERROR(IF(HELP!$F191&gt;N,"",INDEX(T_L1[],HELP!G191,1)
&amp;IF(N_LISTS=1,"",I_S&amp;INDEX(T_L2[],HELP!H191,1)
&amp;IF(N_LISTS=2,"",I_S&amp;INDEX(T_L3[],HELP!I191,1)
&amp;IF(N_LISTS=3,"",I_S&amp;INDEX(T_L4[],HELP!J191,1)
&amp;IF(N_LISTS=4,"",I_S&amp;INDEX(T_L5[],HELP!K191,1)
&amp;IF(N_LISTS=5,"",I_S&amp;INDEX(T_L6[],HELP!L191,1))))))),"")</f>
        <v>Tahini, MCT Oil</v>
      </c>
      <c r="Z195" t="str">
        <f ca="1">IFERROR(INDEX(T_L1[LIST 1],HELP!G191),"")</f>
        <v>Tahini,</v>
      </c>
      <c r="AA195" t="str">
        <f ca="1">IF(Z195="","",INDEX(T_L2[LIST 2],HELP!H191))</f>
        <v>MCT Oil</v>
      </c>
      <c r="AB195" t="str">
        <f t="shared" ca="1" si="4"/>
        <v>Tahini, - MCT Oil</v>
      </c>
    </row>
    <row r="196" spans="16:28" x14ac:dyDescent="0.2">
      <c r="P196" s="7" t="str">
        <f ca="1">IFERROR(IF(HELP!$F192&gt;N,"",INDEX(T_L1[],HELP!G192,1)
&amp;IF(N_LISTS=1,"",I_S&amp;INDEX(T_L2[],HELP!H192,1)
&amp;IF(N_LISTS=2,"",I_S&amp;INDEX(T_L3[],HELP!I192,1)
&amp;IF(N_LISTS=3,"",I_S&amp;INDEX(T_L4[],HELP!J192,1)
&amp;IF(N_LISTS=4,"",I_S&amp;INDEX(T_L5[],HELP!K192,1)
&amp;IF(N_LISTS=5,"",I_S&amp;INDEX(T_L6[],HELP!L192,1))))))),"")</f>
        <v>Tahini, Walnuts</v>
      </c>
      <c r="Z196" t="str">
        <f ca="1">IFERROR(INDEX(T_L1[LIST 1],HELP!G192),"")</f>
        <v>Tahini,</v>
      </c>
      <c r="AA196" t="str">
        <f ca="1">IF(Z196="","",INDEX(T_L2[LIST 2],HELP!H192))</f>
        <v>Walnuts</v>
      </c>
      <c r="AB196" t="str">
        <f t="shared" ca="1" si="4"/>
        <v>Tahini, - Walnuts</v>
      </c>
    </row>
    <row r="197" spans="16:28" x14ac:dyDescent="0.2">
      <c r="P197" s="7" t="str">
        <f ca="1">IFERROR(IF(HELP!$F193&gt;N,"",INDEX(T_L1[],HELP!G193,1)
&amp;IF(N_LISTS=1,"",I_S&amp;INDEX(T_L2[],HELP!H193,1)
&amp;IF(N_LISTS=2,"",I_S&amp;INDEX(T_L3[],HELP!I193,1)
&amp;IF(N_LISTS=3,"",I_S&amp;INDEX(T_L4[],HELP!J193,1)
&amp;IF(N_LISTS=4,"",I_S&amp;INDEX(T_L5[],HELP!K193,1)
&amp;IF(N_LISTS=5,"",I_S&amp;INDEX(T_L6[],HELP!L193,1))))))),"")</f>
        <v>Tahini, Pecans</v>
      </c>
      <c r="Z197" t="str">
        <f ca="1">IFERROR(INDEX(T_L1[LIST 1],HELP!G193),"")</f>
        <v>Tahini,</v>
      </c>
      <c r="AA197" t="str">
        <f ca="1">IF(Z197="","",INDEX(T_L2[LIST 2],HELP!H193))</f>
        <v>Pecans</v>
      </c>
      <c r="AB197" t="str">
        <f t="shared" ca="1" si="4"/>
        <v>Tahini, - Pecans</v>
      </c>
    </row>
    <row r="198" spans="16:28" x14ac:dyDescent="0.2">
      <c r="P198" s="7" t="str">
        <f ca="1">IFERROR(IF(HELP!$F194&gt;N,"",INDEX(T_L1[],HELP!G194,1)
&amp;IF(N_LISTS=1,"",I_S&amp;INDEX(T_L2[],HELP!H194,1)
&amp;IF(N_LISTS=2,"",I_S&amp;INDEX(T_L3[],HELP!I194,1)
&amp;IF(N_LISTS=3,"",I_S&amp;INDEX(T_L4[],HELP!J194,1)
&amp;IF(N_LISTS=4,"",I_S&amp;INDEX(T_L5[],HELP!K194,1)
&amp;IF(N_LISTS=5,"",I_S&amp;INDEX(T_L6[],HELP!L194,1))))))),"")</f>
        <v>Tahini, Macadamia Nuts</v>
      </c>
      <c r="Z198" t="str">
        <f ca="1">IFERROR(INDEX(T_L1[LIST 1],HELP!G194),"")</f>
        <v>Tahini,</v>
      </c>
      <c r="AA198" t="str">
        <f ca="1">IF(Z198="","",INDEX(T_L2[LIST 2],HELP!H194))</f>
        <v>Macadamia Nuts</v>
      </c>
      <c r="AB198" t="str">
        <f t="shared" ca="1" si="4"/>
        <v>Tahini, - Macadamia Nuts</v>
      </c>
    </row>
    <row r="199" spans="16:28" x14ac:dyDescent="0.2">
      <c r="P199" s="7" t="str">
        <f ca="1">IFERROR(IF(HELP!$F195&gt;N,"",INDEX(T_L1[],HELP!G195,1)
&amp;IF(N_LISTS=1,"",I_S&amp;INDEX(T_L2[],HELP!H195,1)
&amp;IF(N_LISTS=2,"",I_S&amp;INDEX(T_L3[],HELP!I195,1)
&amp;IF(N_LISTS=3,"",I_S&amp;INDEX(T_L4[],HELP!J195,1)
&amp;IF(N_LISTS=4,"",I_S&amp;INDEX(T_L5[],HELP!K195,1)
&amp;IF(N_LISTS=5,"",I_S&amp;INDEX(T_L6[],HELP!L195,1))))))),"")</f>
        <v>Tahini, Tahini</v>
      </c>
      <c r="Z199" t="str">
        <f ca="1">IFERROR(INDEX(T_L1[LIST 1],HELP!G195),"")</f>
        <v>Tahini,</v>
      </c>
      <c r="AA199" t="str">
        <f ca="1">IF(Z199="","",INDEX(T_L2[LIST 2],HELP!H195))</f>
        <v>Tahini</v>
      </c>
      <c r="AB199" t="str">
        <f t="shared" ca="1" si="4"/>
        <v>Tahini, - Tahini</v>
      </c>
    </row>
    <row r="200" spans="16:28" x14ac:dyDescent="0.2">
      <c r="P200" s="7" t="str">
        <f ca="1">IFERROR(IF(HELP!$F196&gt;N,"",INDEX(T_L1[],HELP!G196,1)
&amp;IF(N_LISTS=1,"",I_S&amp;INDEX(T_L2[],HELP!H196,1)
&amp;IF(N_LISTS=2,"",I_S&amp;INDEX(T_L3[],HELP!I196,1)
&amp;IF(N_LISTS=3,"",I_S&amp;INDEX(T_L4[],HELP!J196,1)
&amp;IF(N_LISTS=4,"",I_S&amp;INDEX(T_L5[],HELP!K196,1)
&amp;IF(N_LISTS=5,"",I_S&amp;INDEX(T_L6[],HELP!L196,1))))))),"")</f>
        <v>Tahini, Dark Chocolate</v>
      </c>
      <c r="Z200" t="str">
        <f ca="1">IFERROR(INDEX(T_L1[LIST 1],HELP!G196),"")</f>
        <v>Tahini,</v>
      </c>
      <c r="AA200" t="str">
        <f ca="1">IF(Z200="","",INDEX(T_L2[LIST 2],HELP!H196))</f>
        <v>Dark Chocolate</v>
      </c>
      <c r="AB200" t="str">
        <f t="shared" ca="1" si="4"/>
        <v>Tahini, - Dark Chocolate</v>
      </c>
    </row>
    <row r="201" spans="16:28" x14ac:dyDescent="0.2">
      <c r="P201" s="7" t="str">
        <f ca="1">IFERROR(IF(HELP!$F197&gt;N,"",INDEX(T_L1[],HELP!G197,1)
&amp;IF(N_LISTS=1,"",I_S&amp;INDEX(T_L2[],HELP!H197,1)
&amp;IF(N_LISTS=2,"",I_S&amp;INDEX(T_L3[],HELP!I197,1)
&amp;IF(N_LISTS=3,"",I_S&amp;INDEX(T_L4[],HELP!J197,1)
&amp;IF(N_LISTS=4,"",I_S&amp;INDEX(T_L5[],HELP!K197,1)
&amp;IF(N_LISTS=5,"",I_S&amp;INDEX(T_L6[],HELP!L197,1))))))),"")</f>
        <v>Tahini, -</v>
      </c>
      <c r="Z201" t="str">
        <f ca="1">IFERROR(INDEX(T_L1[LIST 1],HELP!G197),"")</f>
        <v>Tahini,</v>
      </c>
      <c r="AA201" t="str">
        <f ca="1">IF(Z201="","",INDEX(T_L2[LIST 2],HELP!H197))</f>
        <v>-</v>
      </c>
      <c r="AB201" t="str">
        <f t="shared" ca="1" si="4"/>
        <v>Tahini, - -</v>
      </c>
    </row>
    <row r="202" spans="16:28" x14ac:dyDescent="0.2">
      <c r="P202" s="7" t="str">
        <f ca="1">IFERROR(IF(HELP!$F198&gt;N,"",INDEX(T_L1[],HELP!G198,1)
&amp;IF(N_LISTS=1,"",I_S&amp;INDEX(T_L2[],HELP!H198,1)
&amp;IF(N_LISTS=2,"",I_S&amp;INDEX(T_L3[],HELP!I198,1)
&amp;IF(N_LISTS=3,"",I_S&amp;INDEX(T_L4[],HELP!J198,1)
&amp;IF(N_LISTS=4,"",I_S&amp;INDEX(T_L5[],HELP!K198,1)
&amp;IF(N_LISTS=5,"",I_S&amp;INDEX(T_L6[],HELP!L198,1))))))),"")</f>
        <v>Dark Chocolate, Peanut Butter</v>
      </c>
      <c r="Z202" t="str">
        <f ca="1">IFERROR(INDEX(T_L1[LIST 1],HELP!G198),"")</f>
        <v>Dark Chocolate,</v>
      </c>
      <c r="AA202" t="str">
        <f ca="1">IF(Z202="","",INDEX(T_L2[LIST 2],HELP!H198))</f>
        <v>Peanut Butter</v>
      </c>
      <c r="AB202" t="str">
        <f t="shared" ca="1" si="4"/>
        <v>Dark Chocolate, - Peanut Butter</v>
      </c>
    </row>
    <row r="203" spans="16:28" x14ac:dyDescent="0.2">
      <c r="P203" s="7" t="str">
        <f ca="1">IFERROR(IF(HELP!$F199&gt;N,"",INDEX(T_L1[],HELP!G199,1)
&amp;IF(N_LISTS=1,"",I_S&amp;INDEX(T_L2[],HELP!H199,1)
&amp;IF(N_LISTS=2,"",I_S&amp;INDEX(T_L3[],HELP!I199,1)
&amp;IF(N_LISTS=3,"",I_S&amp;INDEX(T_L4[],HELP!J199,1)
&amp;IF(N_LISTS=4,"",I_S&amp;INDEX(T_L5[],HELP!K199,1)
&amp;IF(N_LISTS=5,"",I_S&amp;INDEX(T_L6[],HELP!L199,1))))))),"")</f>
        <v>Dark Chocolate, Almond Butter</v>
      </c>
      <c r="Z203" t="str">
        <f ca="1">IFERROR(INDEX(T_L1[LIST 1],HELP!G199),"")</f>
        <v>Dark Chocolate,</v>
      </c>
      <c r="AA203" t="str">
        <f ca="1">IF(Z203="","",INDEX(T_L2[LIST 2],HELP!H199))</f>
        <v>Almond Butter</v>
      </c>
      <c r="AB203" t="str">
        <f t="shared" ca="1" si="4"/>
        <v>Dark Chocolate, - Almond Butter</v>
      </c>
    </row>
    <row r="204" spans="16:28" x14ac:dyDescent="0.2">
      <c r="P204" s="7" t="str">
        <f ca="1">IFERROR(IF(HELP!$F200&gt;N,"",INDEX(T_L1[],HELP!G200,1)
&amp;IF(N_LISTS=1,"",I_S&amp;INDEX(T_L2[],HELP!H200,1)
&amp;IF(N_LISTS=2,"",I_S&amp;INDEX(T_L3[],HELP!I200,1)
&amp;IF(N_LISTS=3,"",I_S&amp;INDEX(T_L4[],HELP!J200,1)
&amp;IF(N_LISTS=4,"",I_S&amp;INDEX(T_L5[],HELP!K200,1)
&amp;IF(N_LISTS=5,"",I_S&amp;INDEX(T_L6[],HELP!L200,1))))))),"")</f>
        <v>Dark Chocolate, Cashew Butter</v>
      </c>
      <c r="Z204" t="str">
        <f ca="1">IFERROR(INDEX(T_L1[LIST 1],HELP!G200),"")</f>
        <v>Dark Chocolate,</v>
      </c>
      <c r="AA204" t="str">
        <f ca="1">IF(Z204="","",INDEX(T_L2[LIST 2],HELP!H200))</f>
        <v>Cashew Butter</v>
      </c>
      <c r="AB204" t="str">
        <f t="shared" ca="1" si="4"/>
        <v>Dark Chocolate, - Cashew Butter</v>
      </c>
    </row>
    <row r="205" spans="16:28" x14ac:dyDescent="0.2">
      <c r="P205" s="7" t="str">
        <f ca="1">IFERROR(IF(HELP!$F201&gt;N,"",INDEX(T_L1[],HELP!G201,1)
&amp;IF(N_LISTS=1,"",I_S&amp;INDEX(T_L2[],HELP!H201,1)
&amp;IF(N_LISTS=2,"",I_S&amp;INDEX(T_L3[],HELP!I201,1)
&amp;IF(N_LISTS=3,"",I_S&amp;INDEX(T_L4[],HELP!J201,1)
&amp;IF(N_LISTS=4,"",I_S&amp;INDEX(T_L5[],HELP!K201,1)
&amp;IF(N_LISTS=5,"",I_S&amp;INDEX(T_L6[],HELP!L201,1))))))),"")</f>
        <v>Dark Chocolate, Chia Seeds</v>
      </c>
      <c r="Z205" t="str">
        <f ca="1">IFERROR(INDEX(T_L1[LIST 1],HELP!G201),"")</f>
        <v>Dark Chocolate,</v>
      </c>
      <c r="AA205" t="str">
        <f ca="1">IF(Z205="","",INDEX(T_L2[LIST 2],HELP!H201))</f>
        <v>Chia Seeds</v>
      </c>
      <c r="AB205" t="str">
        <f t="shared" ca="1" si="4"/>
        <v>Dark Chocolate, - Chia Seeds</v>
      </c>
    </row>
    <row r="206" spans="16:28" x14ac:dyDescent="0.2">
      <c r="P206" s="7" t="str">
        <f ca="1">IFERROR(IF(HELP!$F202&gt;N,"",INDEX(T_L1[],HELP!G202,1)
&amp;IF(N_LISTS=1,"",I_S&amp;INDEX(T_L2[],HELP!H202,1)
&amp;IF(N_LISTS=2,"",I_S&amp;INDEX(T_L3[],HELP!I202,1)
&amp;IF(N_LISTS=3,"",I_S&amp;INDEX(T_L4[],HELP!J202,1)
&amp;IF(N_LISTS=4,"",I_S&amp;INDEX(T_L5[],HELP!K202,1)
&amp;IF(N_LISTS=5,"",I_S&amp;INDEX(T_L6[],HELP!L202,1))))))),"")</f>
        <v>Dark Chocolate, Flax Seeds</v>
      </c>
      <c r="Z206" t="str">
        <f ca="1">IFERROR(INDEX(T_L1[LIST 1],HELP!G202),"")</f>
        <v>Dark Chocolate,</v>
      </c>
      <c r="AA206" t="str">
        <f ca="1">IF(Z206="","",INDEX(T_L2[LIST 2],HELP!H202))</f>
        <v>Flax Seeds</v>
      </c>
      <c r="AB206" t="str">
        <f t="shared" ca="1" si="4"/>
        <v>Dark Chocolate, - Flax Seeds</v>
      </c>
    </row>
    <row r="207" spans="16:28" x14ac:dyDescent="0.2">
      <c r="P207" s="7" t="str">
        <f ca="1">IFERROR(IF(HELP!$F203&gt;N,"",INDEX(T_L1[],HELP!G203,1)
&amp;IF(N_LISTS=1,"",I_S&amp;INDEX(T_L2[],HELP!H203,1)
&amp;IF(N_LISTS=2,"",I_S&amp;INDEX(T_L3[],HELP!I203,1)
&amp;IF(N_LISTS=3,"",I_S&amp;INDEX(T_L4[],HELP!J203,1)
&amp;IF(N_LISTS=4,"",I_S&amp;INDEX(T_L5[],HELP!K203,1)
&amp;IF(N_LISTS=5,"",I_S&amp;INDEX(T_L6[],HELP!L203,1))))))),"")</f>
        <v>Dark Chocolate, Hemp Seeds</v>
      </c>
      <c r="Z207" t="str">
        <f ca="1">IFERROR(INDEX(T_L1[LIST 1],HELP!G203),"")</f>
        <v>Dark Chocolate,</v>
      </c>
      <c r="AA207" t="str">
        <f ca="1">IF(Z207="","",INDEX(T_L2[LIST 2],HELP!H203))</f>
        <v>Hemp Seeds</v>
      </c>
      <c r="AB207" t="str">
        <f t="shared" ca="1" si="4"/>
        <v>Dark Chocolate, - Hemp Seeds</v>
      </c>
    </row>
    <row r="208" spans="16:28" x14ac:dyDescent="0.2">
      <c r="P208" s="7" t="str">
        <f ca="1">IFERROR(IF(HELP!$F204&gt;N,"",INDEX(T_L1[],HELP!G204,1)
&amp;IF(N_LISTS=1,"",I_S&amp;INDEX(T_L2[],HELP!H204,1)
&amp;IF(N_LISTS=2,"",I_S&amp;INDEX(T_L3[],HELP!I204,1)
&amp;IF(N_LISTS=3,"",I_S&amp;INDEX(T_L4[],HELP!J204,1)
&amp;IF(N_LISTS=4,"",I_S&amp;INDEX(T_L5[],HELP!K204,1)
&amp;IF(N_LISTS=5,"",I_S&amp;INDEX(T_L6[],HELP!L204,1))))))),"")</f>
        <v>Dark Chocolate, Avocado</v>
      </c>
      <c r="Z208" t="str">
        <f ca="1">IFERROR(INDEX(T_L1[LIST 1],HELP!G204),"")</f>
        <v>Dark Chocolate,</v>
      </c>
      <c r="AA208" t="str">
        <f ca="1">IF(Z208="","",INDEX(T_L2[LIST 2],HELP!H204))</f>
        <v>Avocado</v>
      </c>
      <c r="AB208" t="str">
        <f t="shared" ca="1" si="4"/>
        <v>Dark Chocolate, - Avocado</v>
      </c>
    </row>
    <row r="209" spans="16:28" x14ac:dyDescent="0.2">
      <c r="P209" s="7" t="str">
        <f ca="1">IFERROR(IF(HELP!$F205&gt;N,"",INDEX(T_L1[],HELP!G205,1)
&amp;IF(N_LISTS=1,"",I_S&amp;INDEX(T_L2[],HELP!H205,1)
&amp;IF(N_LISTS=2,"",I_S&amp;INDEX(T_L3[],HELP!I205,1)
&amp;IF(N_LISTS=3,"",I_S&amp;INDEX(T_L4[],HELP!J205,1)
&amp;IF(N_LISTS=4,"",I_S&amp;INDEX(T_L5[],HELP!K205,1)
&amp;IF(N_LISTS=5,"",I_S&amp;INDEX(T_L6[],HELP!L205,1))))))),"")</f>
        <v>Dark Chocolate, Coconut Oil</v>
      </c>
      <c r="Z209" t="str">
        <f ca="1">IFERROR(INDEX(T_L1[LIST 1],HELP!G205),"")</f>
        <v>Dark Chocolate,</v>
      </c>
      <c r="AA209" t="str">
        <f ca="1">IF(Z209="","",INDEX(T_L2[LIST 2],HELP!H205))</f>
        <v>Coconut Oil</v>
      </c>
      <c r="AB209" t="str">
        <f t="shared" ca="1" si="4"/>
        <v>Dark Chocolate, - Coconut Oil</v>
      </c>
    </row>
    <row r="210" spans="16:28" x14ac:dyDescent="0.2">
      <c r="P210" s="7" t="str">
        <f ca="1">IFERROR(IF(HELP!$F206&gt;N,"",INDEX(T_L1[],HELP!G206,1)
&amp;IF(N_LISTS=1,"",I_S&amp;INDEX(T_L2[],HELP!H206,1)
&amp;IF(N_LISTS=2,"",I_S&amp;INDEX(T_L3[],HELP!I206,1)
&amp;IF(N_LISTS=3,"",I_S&amp;INDEX(T_L4[],HELP!J206,1)
&amp;IF(N_LISTS=4,"",I_S&amp;INDEX(T_L5[],HELP!K206,1)
&amp;IF(N_LISTS=5,"",I_S&amp;INDEX(T_L6[],HELP!L206,1))))))),"")</f>
        <v>Dark Chocolate, MCT Oil</v>
      </c>
      <c r="Z210" t="str">
        <f ca="1">IFERROR(INDEX(T_L1[LIST 1],HELP!G206),"")</f>
        <v>Dark Chocolate,</v>
      </c>
      <c r="AA210" t="str">
        <f ca="1">IF(Z210="","",INDEX(T_L2[LIST 2],HELP!H206))</f>
        <v>MCT Oil</v>
      </c>
      <c r="AB210" t="str">
        <f t="shared" ca="1" si="4"/>
        <v>Dark Chocolate, - MCT Oil</v>
      </c>
    </row>
    <row r="211" spans="16:28" x14ac:dyDescent="0.2">
      <c r="P211" s="7" t="str">
        <f ca="1">IFERROR(IF(HELP!$F207&gt;N,"",INDEX(T_L1[],HELP!G207,1)
&amp;IF(N_LISTS=1,"",I_S&amp;INDEX(T_L2[],HELP!H207,1)
&amp;IF(N_LISTS=2,"",I_S&amp;INDEX(T_L3[],HELP!I207,1)
&amp;IF(N_LISTS=3,"",I_S&amp;INDEX(T_L4[],HELP!J207,1)
&amp;IF(N_LISTS=4,"",I_S&amp;INDEX(T_L5[],HELP!K207,1)
&amp;IF(N_LISTS=5,"",I_S&amp;INDEX(T_L6[],HELP!L207,1))))))),"")</f>
        <v>Dark Chocolate, Walnuts</v>
      </c>
      <c r="Z211" t="str">
        <f ca="1">IFERROR(INDEX(T_L1[LIST 1],HELP!G207),"")</f>
        <v>Dark Chocolate,</v>
      </c>
      <c r="AA211" t="str">
        <f ca="1">IF(Z211="","",INDEX(T_L2[LIST 2],HELP!H207))</f>
        <v>Walnuts</v>
      </c>
      <c r="AB211" t="str">
        <f t="shared" ca="1" si="4"/>
        <v>Dark Chocolate, - Walnuts</v>
      </c>
    </row>
    <row r="212" spans="16:28" x14ac:dyDescent="0.2">
      <c r="P212" s="7" t="str">
        <f ca="1">IFERROR(IF(HELP!$F208&gt;N,"",INDEX(T_L1[],HELP!G208,1)
&amp;IF(N_LISTS=1,"",I_S&amp;INDEX(T_L2[],HELP!H208,1)
&amp;IF(N_LISTS=2,"",I_S&amp;INDEX(T_L3[],HELP!I208,1)
&amp;IF(N_LISTS=3,"",I_S&amp;INDEX(T_L4[],HELP!J208,1)
&amp;IF(N_LISTS=4,"",I_S&amp;INDEX(T_L5[],HELP!K208,1)
&amp;IF(N_LISTS=5,"",I_S&amp;INDEX(T_L6[],HELP!L208,1))))))),"")</f>
        <v>Dark Chocolate, Pecans</v>
      </c>
      <c r="Z212" t="str">
        <f ca="1">IFERROR(INDEX(T_L1[LIST 1],HELP!G208),"")</f>
        <v>Dark Chocolate,</v>
      </c>
      <c r="AA212" t="str">
        <f ca="1">IF(Z212="","",INDEX(T_L2[LIST 2],HELP!H208))</f>
        <v>Pecans</v>
      </c>
      <c r="AB212" t="str">
        <f t="shared" ca="1" si="4"/>
        <v>Dark Chocolate, - Pecans</v>
      </c>
    </row>
    <row r="213" spans="16:28" x14ac:dyDescent="0.2">
      <c r="P213" s="7" t="str">
        <f ca="1">IFERROR(IF(HELP!$F209&gt;N,"",INDEX(T_L1[],HELP!G209,1)
&amp;IF(N_LISTS=1,"",I_S&amp;INDEX(T_L2[],HELP!H209,1)
&amp;IF(N_LISTS=2,"",I_S&amp;INDEX(T_L3[],HELP!I209,1)
&amp;IF(N_LISTS=3,"",I_S&amp;INDEX(T_L4[],HELP!J209,1)
&amp;IF(N_LISTS=4,"",I_S&amp;INDEX(T_L5[],HELP!K209,1)
&amp;IF(N_LISTS=5,"",I_S&amp;INDEX(T_L6[],HELP!L209,1))))))),"")</f>
        <v>Dark Chocolate, Macadamia Nuts</v>
      </c>
      <c r="Z213" t="str">
        <f ca="1">IFERROR(INDEX(T_L1[LIST 1],HELP!G209),"")</f>
        <v>Dark Chocolate,</v>
      </c>
      <c r="AA213" t="str">
        <f ca="1">IF(Z213="","",INDEX(T_L2[LIST 2],HELP!H209))</f>
        <v>Macadamia Nuts</v>
      </c>
      <c r="AB213" t="str">
        <f t="shared" ca="1" si="4"/>
        <v>Dark Chocolate, - Macadamia Nuts</v>
      </c>
    </row>
    <row r="214" spans="16:28" x14ac:dyDescent="0.2">
      <c r="P214" s="7" t="str">
        <f ca="1">IFERROR(IF(HELP!$F210&gt;N,"",INDEX(T_L1[],HELP!G210,1)
&amp;IF(N_LISTS=1,"",I_S&amp;INDEX(T_L2[],HELP!H210,1)
&amp;IF(N_LISTS=2,"",I_S&amp;INDEX(T_L3[],HELP!I210,1)
&amp;IF(N_LISTS=3,"",I_S&amp;INDEX(T_L4[],HELP!J210,1)
&amp;IF(N_LISTS=4,"",I_S&amp;INDEX(T_L5[],HELP!K210,1)
&amp;IF(N_LISTS=5,"",I_S&amp;INDEX(T_L6[],HELP!L210,1))))))),"")</f>
        <v>Dark Chocolate, Tahini</v>
      </c>
      <c r="Z214" t="str">
        <f ca="1">IFERROR(INDEX(T_L1[LIST 1],HELP!G210),"")</f>
        <v>Dark Chocolate,</v>
      </c>
      <c r="AA214" t="str">
        <f ca="1">IF(Z214="","",INDEX(T_L2[LIST 2],HELP!H210))</f>
        <v>Tahini</v>
      </c>
      <c r="AB214" t="str">
        <f t="shared" ca="1" si="4"/>
        <v>Dark Chocolate, - Tahini</v>
      </c>
    </row>
    <row r="215" spans="16:28" x14ac:dyDescent="0.2">
      <c r="P215" s="7" t="str">
        <f ca="1">IFERROR(IF(HELP!$F211&gt;N,"",INDEX(T_L1[],HELP!G211,1)
&amp;IF(N_LISTS=1,"",I_S&amp;INDEX(T_L2[],HELP!H211,1)
&amp;IF(N_LISTS=2,"",I_S&amp;INDEX(T_L3[],HELP!I211,1)
&amp;IF(N_LISTS=3,"",I_S&amp;INDEX(T_L4[],HELP!J211,1)
&amp;IF(N_LISTS=4,"",I_S&amp;INDEX(T_L5[],HELP!K211,1)
&amp;IF(N_LISTS=5,"",I_S&amp;INDEX(T_L6[],HELP!L211,1))))))),"")</f>
        <v>Dark Chocolate, Dark Chocolate</v>
      </c>
      <c r="Z215" t="str">
        <f ca="1">IFERROR(INDEX(T_L1[LIST 1],HELP!G211),"")</f>
        <v>Dark Chocolate,</v>
      </c>
      <c r="AA215" t="str">
        <f ca="1">IF(Z215="","",INDEX(T_L2[LIST 2],HELP!H211))</f>
        <v>Dark Chocolate</v>
      </c>
      <c r="AB215" t="str">
        <f t="shared" ca="1" si="4"/>
        <v>Dark Chocolate, - Dark Chocolate</v>
      </c>
    </row>
    <row r="216" spans="16:28" x14ac:dyDescent="0.2">
      <c r="P216" s="7" t="str">
        <f ca="1">IFERROR(IF(HELP!$F212&gt;N,"",INDEX(T_L1[],HELP!G212,1)
&amp;IF(N_LISTS=1,"",I_S&amp;INDEX(T_L2[],HELP!H212,1)
&amp;IF(N_LISTS=2,"",I_S&amp;INDEX(T_L3[],HELP!I212,1)
&amp;IF(N_LISTS=3,"",I_S&amp;INDEX(T_L4[],HELP!J212,1)
&amp;IF(N_LISTS=4,"",I_S&amp;INDEX(T_L5[],HELP!K212,1)
&amp;IF(N_LISTS=5,"",I_S&amp;INDEX(T_L6[],HELP!L212,1))))))),"")</f>
        <v>Dark Chocolate, -</v>
      </c>
      <c r="Z216" t="str">
        <f ca="1">IFERROR(INDEX(T_L1[LIST 1],HELP!G212),"")</f>
        <v>Dark Chocolate,</v>
      </c>
      <c r="AA216" t="str">
        <f ca="1">IF(Z216="","",INDEX(T_L2[LIST 2],HELP!H212))</f>
        <v>-</v>
      </c>
      <c r="AB216" t="str">
        <f t="shared" ca="1" si="4"/>
        <v>Dark Chocolate, - -</v>
      </c>
    </row>
    <row r="217" spans="16:28" x14ac:dyDescent="0.2">
      <c r="P217" s="7" t="str">
        <f ca="1">IFERROR(IF(HELP!$F213&gt;N,"",INDEX(T_L1[],HELP!G213,1)
&amp;IF(N_LISTS=1,"",I_S&amp;INDEX(T_L2[],HELP!H213,1)
&amp;IF(N_LISTS=2,"",I_S&amp;INDEX(T_L3[],HELP!I213,1)
&amp;IF(N_LISTS=3,"",I_S&amp;INDEX(T_L4[],HELP!J213,1)
&amp;IF(N_LISTS=4,"",I_S&amp;INDEX(T_L5[],HELP!K213,1)
&amp;IF(N_LISTS=5,"",I_S&amp;INDEX(T_L6[],HELP!L213,1))))))),"")</f>
        <v/>
      </c>
      <c r="Z217" t="str">
        <f ca="1">IFERROR(INDEX(T_L1[LIST 1],HELP!G213),"")</f>
        <v/>
      </c>
      <c r="AA217" t="str">
        <f ca="1">IF(Z217="","",INDEX(T_L2[LIST 2],HELP!H213))</f>
        <v/>
      </c>
      <c r="AB217" t="str">
        <f t="shared" ca="1" si="4"/>
        <v xml:space="preserve"> - </v>
      </c>
    </row>
    <row r="218" spans="16:28" x14ac:dyDescent="0.2">
      <c r="P218" s="7" t="str">
        <f ca="1">IFERROR(IF(HELP!$F214&gt;N,"",INDEX(T_L1[],HELP!G214,1)
&amp;IF(N_LISTS=1,"",I_S&amp;INDEX(T_L2[],HELP!H214,1)
&amp;IF(N_LISTS=2,"",I_S&amp;INDEX(T_L3[],HELP!I214,1)
&amp;IF(N_LISTS=3,"",I_S&amp;INDEX(T_L4[],HELP!J214,1)
&amp;IF(N_LISTS=4,"",I_S&amp;INDEX(T_L5[],HELP!K214,1)
&amp;IF(N_LISTS=5,"",I_S&amp;INDEX(T_L6[],HELP!L214,1))))))),"")</f>
        <v/>
      </c>
      <c r="Z218" t="str">
        <f ca="1">IFERROR(INDEX(T_L1[LIST 1],HELP!G214),"")</f>
        <v/>
      </c>
      <c r="AA218" t="str">
        <f ca="1">IF(Z218="","",INDEX(T_L2[LIST 2],HELP!H214))</f>
        <v/>
      </c>
      <c r="AB218" t="str">
        <f t="shared" ca="1" si="4"/>
        <v xml:space="preserve"> - </v>
      </c>
    </row>
    <row r="219" spans="16:28" x14ac:dyDescent="0.2">
      <c r="P219" s="7" t="str">
        <f ca="1">IFERROR(IF(HELP!$F215&gt;N,"",INDEX(T_L1[],HELP!G215,1)
&amp;IF(N_LISTS=1,"",I_S&amp;INDEX(T_L2[],HELP!H215,1)
&amp;IF(N_LISTS=2,"",I_S&amp;INDEX(T_L3[],HELP!I215,1)
&amp;IF(N_LISTS=3,"",I_S&amp;INDEX(T_L4[],HELP!J215,1)
&amp;IF(N_LISTS=4,"",I_S&amp;INDEX(T_L5[],HELP!K215,1)
&amp;IF(N_LISTS=5,"",I_S&amp;INDEX(T_L6[],HELP!L215,1))))))),"")</f>
        <v/>
      </c>
      <c r="Z219" t="str">
        <f ca="1">IFERROR(INDEX(T_L1[LIST 1],HELP!G215),"")</f>
        <v/>
      </c>
      <c r="AA219" t="str">
        <f ca="1">IF(Z219="","",INDEX(T_L2[LIST 2],HELP!H215))</f>
        <v/>
      </c>
      <c r="AB219" t="str">
        <f t="shared" ca="1" si="4"/>
        <v xml:space="preserve"> - </v>
      </c>
    </row>
    <row r="220" spans="16:28" x14ac:dyDescent="0.2">
      <c r="P220" s="7" t="str">
        <f ca="1">IFERROR(IF(HELP!$F216&gt;N,"",INDEX(T_L1[],HELP!G216,1)
&amp;IF(N_LISTS=1,"",I_S&amp;INDEX(T_L2[],HELP!H216,1)
&amp;IF(N_LISTS=2,"",I_S&amp;INDEX(T_L3[],HELP!I216,1)
&amp;IF(N_LISTS=3,"",I_S&amp;INDEX(T_L4[],HELP!J216,1)
&amp;IF(N_LISTS=4,"",I_S&amp;INDEX(T_L5[],HELP!K216,1)
&amp;IF(N_LISTS=5,"",I_S&amp;INDEX(T_L6[],HELP!L216,1))))))),"")</f>
        <v/>
      </c>
      <c r="Z220" t="str">
        <f ca="1">IFERROR(INDEX(T_L1[LIST 1],HELP!G216),"")</f>
        <v/>
      </c>
      <c r="AA220" t="str">
        <f ca="1">IF(Z220="","",INDEX(T_L2[LIST 2],HELP!H216))</f>
        <v/>
      </c>
      <c r="AB220" t="str">
        <f t="shared" ca="1" si="4"/>
        <v xml:space="preserve"> - </v>
      </c>
    </row>
    <row r="221" spans="16:28" x14ac:dyDescent="0.2">
      <c r="P221" s="7" t="str">
        <f ca="1">IFERROR(IF(HELP!$F217&gt;N,"",INDEX(T_L1[],HELP!G217,1)
&amp;IF(N_LISTS=1,"",I_S&amp;INDEX(T_L2[],HELP!H217,1)
&amp;IF(N_LISTS=2,"",I_S&amp;INDEX(T_L3[],HELP!I217,1)
&amp;IF(N_LISTS=3,"",I_S&amp;INDEX(T_L4[],HELP!J217,1)
&amp;IF(N_LISTS=4,"",I_S&amp;INDEX(T_L5[],HELP!K217,1)
&amp;IF(N_LISTS=5,"",I_S&amp;INDEX(T_L6[],HELP!L217,1))))))),"")</f>
        <v/>
      </c>
      <c r="Z221" t="str">
        <f ca="1">IFERROR(INDEX(T_L1[LIST 1],HELP!G217),"")</f>
        <v/>
      </c>
      <c r="AA221" t="str">
        <f ca="1">IF(Z221="","",INDEX(T_L2[LIST 2],HELP!H217))</f>
        <v/>
      </c>
      <c r="AB221" t="str">
        <f t="shared" ca="1" si="4"/>
        <v xml:space="preserve"> - </v>
      </c>
    </row>
    <row r="222" spans="16:28" x14ac:dyDescent="0.2">
      <c r="P222" s="7" t="str">
        <f ca="1">IFERROR(IF(HELP!$F218&gt;N,"",INDEX(T_L1[],HELP!G218,1)
&amp;IF(N_LISTS=1,"",I_S&amp;INDEX(T_L2[],HELP!H218,1)
&amp;IF(N_LISTS=2,"",I_S&amp;INDEX(T_L3[],HELP!I218,1)
&amp;IF(N_LISTS=3,"",I_S&amp;INDEX(T_L4[],HELP!J218,1)
&amp;IF(N_LISTS=4,"",I_S&amp;INDEX(T_L5[],HELP!K218,1)
&amp;IF(N_LISTS=5,"",I_S&amp;INDEX(T_L6[],HELP!L218,1))))))),"")</f>
        <v/>
      </c>
      <c r="Z222" t="str">
        <f ca="1">IFERROR(INDEX(T_L1[LIST 1],HELP!G218),"")</f>
        <v/>
      </c>
      <c r="AA222" t="str">
        <f ca="1">IF(Z222="","",INDEX(T_L2[LIST 2],HELP!H218))</f>
        <v/>
      </c>
      <c r="AB222" t="str">
        <f t="shared" ca="1" si="4"/>
        <v xml:space="preserve"> - </v>
      </c>
    </row>
    <row r="223" spans="16:28" x14ac:dyDescent="0.2">
      <c r="P223" s="7" t="str">
        <f ca="1">IFERROR(IF(HELP!$F219&gt;N,"",INDEX(T_L1[],HELP!G219,1)
&amp;IF(N_LISTS=1,"",I_S&amp;INDEX(T_L2[],HELP!H219,1)
&amp;IF(N_LISTS=2,"",I_S&amp;INDEX(T_L3[],HELP!I219,1)
&amp;IF(N_LISTS=3,"",I_S&amp;INDEX(T_L4[],HELP!J219,1)
&amp;IF(N_LISTS=4,"",I_S&amp;INDEX(T_L5[],HELP!K219,1)
&amp;IF(N_LISTS=5,"",I_S&amp;INDEX(T_L6[],HELP!L219,1))))))),"")</f>
        <v/>
      </c>
      <c r="Z223" t="str">
        <f ca="1">IFERROR(INDEX(T_L1[LIST 1],HELP!G219),"")</f>
        <v/>
      </c>
      <c r="AA223" t="str">
        <f ca="1">IF(Z223="","",INDEX(T_L2[LIST 2],HELP!H219))</f>
        <v/>
      </c>
      <c r="AB223" t="str">
        <f t="shared" ca="1" si="4"/>
        <v xml:space="preserve"> - </v>
      </c>
    </row>
    <row r="224" spans="16:28" x14ac:dyDescent="0.2">
      <c r="P224" s="7" t="str">
        <f ca="1">IFERROR(IF(HELP!$F220&gt;N,"",INDEX(T_L1[],HELP!G220,1)
&amp;IF(N_LISTS=1,"",I_S&amp;INDEX(T_L2[],HELP!H220,1)
&amp;IF(N_LISTS=2,"",I_S&amp;INDEX(T_L3[],HELP!I220,1)
&amp;IF(N_LISTS=3,"",I_S&amp;INDEX(T_L4[],HELP!J220,1)
&amp;IF(N_LISTS=4,"",I_S&amp;INDEX(T_L5[],HELP!K220,1)
&amp;IF(N_LISTS=5,"",I_S&amp;INDEX(T_L6[],HELP!L220,1))))))),"")</f>
        <v/>
      </c>
      <c r="Z224" t="str">
        <f ca="1">IFERROR(INDEX(T_L1[LIST 1],HELP!G220),"")</f>
        <v/>
      </c>
      <c r="AA224" t="str">
        <f ca="1">IF(Z224="","",INDEX(T_L2[LIST 2],HELP!H220))</f>
        <v/>
      </c>
      <c r="AB224" t="str">
        <f t="shared" ca="1" si="4"/>
        <v xml:space="preserve"> - </v>
      </c>
    </row>
    <row r="225" spans="16:28" x14ac:dyDescent="0.2">
      <c r="P225" s="7" t="str">
        <f ca="1">IFERROR(IF(HELP!$F221&gt;N,"",INDEX(T_L1[],HELP!G221,1)
&amp;IF(N_LISTS=1,"",I_S&amp;INDEX(T_L2[],HELP!H221,1)
&amp;IF(N_LISTS=2,"",I_S&amp;INDEX(T_L3[],HELP!I221,1)
&amp;IF(N_LISTS=3,"",I_S&amp;INDEX(T_L4[],HELP!J221,1)
&amp;IF(N_LISTS=4,"",I_S&amp;INDEX(T_L5[],HELP!K221,1)
&amp;IF(N_LISTS=5,"",I_S&amp;INDEX(T_L6[],HELP!L221,1))))))),"")</f>
        <v/>
      </c>
      <c r="Z225" t="str">
        <f ca="1">IFERROR(INDEX(T_L1[LIST 1],HELP!G221),"")</f>
        <v/>
      </c>
      <c r="AA225" t="str">
        <f ca="1">IF(Z225="","",INDEX(T_L2[LIST 2],HELP!H221))</f>
        <v/>
      </c>
      <c r="AB225" t="str">
        <f t="shared" ca="1" si="4"/>
        <v xml:space="preserve"> - </v>
      </c>
    </row>
    <row r="226" spans="16:28" x14ac:dyDescent="0.2">
      <c r="P226" s="7" t="str">
        <f ca="1">IFERROR(IF(HELP!$F222&gt;N,"",INDEX(T_L1[],HELP!G222,1)
&amp;IF(N_LISTS=1,"",I_S&amp;INDEX(T_L2[],HELP!H222,1)
&amp;IF(N_LISTS=2,"",I_S&amp;INDEX(T_L3[],HELP!I222,1)
&amp;IF(N_LISTS=3,"",I_S&amp;INDEX(T_L4[],HELP!J222,1)
&amp;IF(N_LISTS=4,"",I_S&amp;INDEX(T_L5[],HELP!K222,1)
&amp;IF(N_LISTS=5,"",I_S&amp;INDEX(T_L6[],HELP!L222,1))))))),"")</f>
        <v/>
      </c>
      <c r="Z226" t="str">
        <f ca="1">IFERROR(INDEX(T_L1[LIST 1],HELP!G222),"")</f>
        <v/>
      </c>
      <c r="AA226" t="str">
        <f ca="1">IF(Z226="","",INDEX(T_L2[LIST 2],HELP!H222))</f>
        <v/>
      </c>
      <c r="AB226" t="str">
        <f t="shared" ca="1" si="4"/>
        <v xml:space="preserve"> - </v>
      </c>
    </row>
    <row r="227" spans="16:28" x14ac:dyDescent="0.2">
      <c r="P227" s="7" t="str">
        <f ca="1">IFERROR(IF(HELP!$F223&gt;N,"",INDEX(T_L1[],HELP!G223,1)
&amp;IF(N_LISTS=1,"",I_S&amp;INDEX(T_L2[],HELP!H223,1)
&amp;IF(N_LISTS=2,"",I_S&amp;INDEX(T_L3[],HELP!I223,1)
&amp;IF(N_LISTS=3,"",I_S&amp;INDEX(T_L4[],HELP!J223,1)
&amp;IF(N_LISTS=4,"",I_S&amp;INDEX(T_L5[],HELP!K223,1)
&amp;IF(N_LISTS=5,"",I_S&amp;INDEX(T_L6[],HELP!L223,1))))))),"")</f>
        <v/>
      </c>
      <c r="Z227" t="str">
        <f ca="1">IFERROR(INDEX(T_L1[LIST 1],HELP!G223),"")</f>
        <v/>
      </c>
      <c r="AA227" t="str">
        <f ca="1">IF(Z227="","",INDEX(T_L2[LIST 2],HELP!H223))</f>
        <v/>
      </c>
      <c r="AB227" t="str">
        <f t="shared" ca="1" si="4"/>
        <v xml:space="preserve"> - </v>
      </c>
    </row>
    <row r="228" spans="16:28" x14ac:dyDescent="0.2">
      <c r="P228" s="7" t="str">
        <f ca="1">IFERROR(IF(HELP!$F224&gt;N,"",INDEX(T_L1[],HELP!G224,1)
&amp;IF(N_LISTS=1,"",I_S&amp;INDEX(T_L2[],HELP!H224,1)
&amp;IF(N_LISTS=2,"",I_S&amp;INDEX(T_L3[],HELP!I224,1)
&amp;IF(N_LISTS=3,"",I_S&amp;INDEX(T_L4[],HELP!J224,1)
&amp;IF(N_LISTS=4,"",I_S&amp;INDEX(T_L5[],HELP!K224,1)
&amp;IF(N_LISTS=5,"",I_S&amp;INDEX(T_L6[],HELP!L224,1))))))),"")</f>
        <v/>
      </c>
      <c r="Z228" t="str">
        <f ca="1">IFERROR(INDEX(T_L1[LIST 1],HELP!G224),"")</f>
        <v/>
      </c>
      <c r="AA228" t="str">
        <f ca="1">IF(Z228="","",INDEX(T_L2[LIST 2],HELP!H224))</f>
        <v/>
      </c>
      <c r="AB228" t="str">
        <f t="shared" ca="1" si="4"/>
        <v xml:space="preserve"> - </v>
      </c>
    </row>
    <row r="229" spans="16:28" x14ac:dyDescent="0.2">
      <c r="P229" s="7" t="str">
        <f ca="1">IFERROR(IF(HELP!$F225&gt;N,"",INDEX(T_L1[],HELP!G225,1)
&amp;IF(N_LISTS=1,"",I_S&amp;INDEX(T_L2[],HELP!H225,1)
&amp;IF(N_LISTS=2,"",I_S&amp;INDEX(T_L3[],HELP!I225,1)
&amp;IF(N_LISTS=3,"",I_S&amp;INDEX(T_L4[],HELP!J225,1)
&amp;IF(N_LISTS=4,"",I_S&amp;INDEX(T_L5[],HELP!K225,1)
&amp;IF(N_LISTS=5,"",I_S&amp;INDEX(T_L6[],HELP!L225,1))))))),"")</f>
        <v/>
      </c>
      <c r="Z229" t="str">
        <f ca="1">IFERROR(INDEX(T_L1[LIST 1],HELP!G225),"")</f>
        <v/>
      </c>
      <c r="AA229" t="str">
        <f ca="1">IF(Z229="","",INDEX(T_L2[LIST 2],HELP!H225))</f>
        <v/>
      </c>
      <c r="AB229" t="str">
        <f t="shared" ref="AB229:AB286" ca="1" si="5">Z229&amp;" - "&amp;AA229</f>
        <v xml:space="preserve"> - </v>
      </c>
    </row>
    <row r="230" spans="16:28" x14ac:dyDescent="0.2">
      <c r="P230" s="7" t="str">
        <f ca="1">IFERROR(IF(HELP!$F226&gt;N,"",INDEX(T_L1[],HELP!G226,1)
&amp;IF(N_LISTS=1,"",I_S&amp;INDEX(T_L2[],HELP!H226,1)
&amp;IF(N_LISTS=2,"",I_S&amp;INDEX(T_L3[],HELP!I226,1)
&amp;IF(N_LISTS=3,"",I_S&amp;INDEX(T_L4[],HELP!J226,1)
&amp;IF(N_LISTS=4,"",I_S&amp;INDEX(T_L5[],HELP!K226,1)
&amp;IF(N_LISTS=5,"",I_S&amp;INDEX(T_L6[],HELP!L226,1))))))),"")</f>
        <v/>
      </c>
      <c r="Z230" t="str">
        <f ca="1">IFERROR(INDEX(T_L1[LIST 1],HELP!G226),"")</f>
        <v/>
      </c>
      <c r="AA230" t="str">
        <f ca="1">IF(Z230="","",INDEX(T_L2[LIST 2],HELP!H226))</f>
        <v/>
      </c>
      <c r="AB230" t="str">
        <f t="shared" ca="1" si="5"/>
        <v xml:space="preserve"> - </v>
      </c>
    </row>
    <row r="231" spans="16:28" x14ac:dyDescent="0.2">
      <c r="P231" s="7" t="str">
        <f ca="1">IFERROR(IF(HELP!$F227&gt;N,"",INDEX(T_L1[],HELP!G227,1)
&amp;IF(N_LISTS=1,"",I_S&amp;INDEX(T_L2[],HELP!H227,1)
&amp;IF(N_LISTS=2,"",I_S&amp;INDEX(T_L3[],HELP!I227,1)
&amp;IF(N_LISTS=3,"",I_S&amp;INDEX(T_L4[],HELP!J227,1)
&amp;IF(N_LISTS=4,"",I_S&amp;INDEX(T_L5[],HELP!K227,1)
&amp;IF(N_LISTS=5,"",I_S&amp;INDEX(T_L6[],HELP!L227,1))))))),"")</f>
        <v/>
      </c>
      <c r="Z231" t="str">
        <f ca="1">IFERROR(INDEX(T_L1[LIST 1],HELP!G227),"")</f>
        <v/>
      </c>
      <c r="AA231" t="str">
        <f ca="1">IF(Z231="","",INDEX(T_L2[LIST 2],HELP!H227))</f>
        <v/>
      </c>
      <c r="AB231" t="str">
        <f t="shared" ca="1" si="5"/>
        <v xml:space="preserve"> - </v>
      </c>
    </row>
    <row r="232" spans="16:28" x14ac:dyDescent="0.2">
      <c r="P232" s="7" t="str">
        <f ca="1">IFERROR(IF(HELP!$F228&gt;N,"",INDEX(T_L1[],HELP!G228,1)
&amp;IF(N_LISTS=1,"",I_S&amp;INDEX(T_L2[],HELP!H228,1)
&amp;IF(N_LISTS=2,"",I_S&amp;INDEX(T_L3[],HELP!I228,1)
&amp;IF(N_LISTS=3,"",I_S&amp;INDEX(T_L4[],HELP!J228,1)
&amp;IF(N_LISTS=4,"",I_S&amp;INDEX(T_L5[],HELP!K228,1)
&amp;IF(N_LISTS=5,"",I_S&amp;INDEX(T_L6[],HELP!L228,1))))))),"")</f>
        <v/>
      </c>
      <c r="Z232" t="str">
        <f ca="1">IFERROR(INDEX(T_L1[LIST 1],HELP!G228),"")</f>
        <v/>
      </c>
      <c r="AA232" t="str">
        <f ca="1">IF(Z232="","",INDEX(T_L2[LIST 2],HELP!H228))</f>
        <v/>
      </c>
      <c r="AB232" t="str">
        <f t="shared" ca="1" si="5"/>
        <v xml:space="preserve"> - </v>
      </c>
    </row>
    <row r="233" spans="16:28" x14ac:dyDescent="0.2">
      <c r="P233" s="7" t="str">
        <f ca="1">IFERROR(IF(HELP!$F229&gt;N,"",INDEX(T_L1[],HELP!G229,1)
&amp;IF(N_LISTS=1,"",I_S&amp;INDEX(T_L2[],HELP!H229,1)
&amp;IF(N_LISTS=2,"",I_S&amp;INDEX(T_L3[],HELP!I229,1)
&amp;IF(N_LISTS=3,"",I_S&amp;INDEX(T_L4[],HELP!J229,1)
&amp;IF(N_LISTS=4,"",I_S&amp;INDEX(T_L5[],HELP!K229,1)
&amp;IF(N_LISTS=5,"",I_S&amp;INDEX(T_L6[],HELP!L229,1))))))),"")</f>
        <v/>
      </c>
      <c r="Z233" t="str">
        <f ca="1">IFERROR(INDEX(T_L1[LIST 1],HELP!G229),"")</f>
        <v/>
      </c>
      <c r="AA233" t="str">
        <f ca="1">IF(Z233="","",INDEX(T_L2[LIST 2],HELP!H229))</f>
        <v/>
      </c>
      <c r="AB233" t="str">
        <f t="shared" ca="1" si="5"/>
        <v xml:space="preserve"> - </v>
      </c>
    </row>
    <row r="234" spans="16:28" x14ac:dyDescent="0.2">
      <c r="P234" s="7" t="str">
        <f ca="1">IFERROR(IF(HELP!$F230&gt;N,"",INDEX(T_L1[],HELP!G230,1)
&amp;IF(N_LISTS=1,"",I_S&amp;INDEX(T_L2[],HELP!H230,1)
&amp;IF(N_LISTS=2,"",I_S&amp;INDEX(T_L3[],HELP!I230,1)
&amp;IF(N_LISTS=3,"",I_S&amp;INDEX(T_L4[],HELP!J230,1)
&amp;IF(N_LISTS=4,"",I_S&amp;INDEX(T_L5[],HELP!K230,1)
&amp;IF(N_LISTS=5,"",I_S&amp;INDEX(T_L6[],HELP!L230,1))))))),"")</f>
        <v/>
      </c>
      <c r="Z234" t="str">
        <f ca="1">IFERROR(INDEX(T_L1[LIST 1],HELP!G230),"")</f>
        <v/>
      </c>
      <c r="AA234" t="str">
        <f ca="1">IF(Z234="","",INDEX(T_L2[LIST 2],HELP!H230))</f>
        <v/>
      </c>
      <c r="AB234" t="str">
        <f t="shared" ca="1" si="5"/>
        <v xml:space="preserve"> - </v>
      </c>
    </row>
    <row r="235" spans="16:28" x14ac:dyDescent="0.2">
      <c r="P235" s="7" t="str">
        <f ca="1">IFERROR(IF(HELP!$F231&gt;N,"",INDEX(T_L1[],HELP!G231,1)
&amp;IF(N_LISTS=1,"",I_S&amp;INDEX(T_L2[],HELP!H231,1)
&amp;IF(N_LISTS=2,"",I_S&amp;INDEX(T_L3[],HELP!I231,1)
&amp;IF(N_LISTS=3,"",I_S&amp;INDEX(T_L4[],HELP!J231,1)
&amp;IF(N_LISTS=4,"",I_S&amp;INDEX(T_L5[],HELP!K231,1)
&amp;IF(N_LISTS=5,"",I_S&amp;INDEX(T_L6[],HELP!L231,1))))))),"")</f>
        <v/>
      </c>
      <c r="Z235" t="str">
        <f ca="1">IFERROR(INDEX(T_L1[LIST 1],HELP!G231),"")</f>
        <v/>
      </c>
      <c r="AA235" t="str">
        <f ca="1">IF(Z235="","",INDEX(T_L2[LIST 2],HELP!H231))</f>
        <v/>
      </c>
      <c r="AB235" t="str">
        <f t="shared" ca="1" si="5"/>
        <v xml:space="preserve"> - </v>
      </c>
    </row>
    <row r="236" spans="16:28" x14ac:dyDescent="0.2">
      <c r="P236" s="7" t="str">
        <f ca="1">IFERROR(IF(HELP!$F232&gt;N,"",INDEX(T_L1[],HELP!G232,1)
&amp;IF(N_LISTS=1,"",I_S&amp;INDEX(T_L2[],HELP!H232,1)
&amp;IF(N_LISTS=2,"",I_S&amp;INDEX(T_L3[],HELP!I232,1)
&amp;IF(N_LISTS=3,"",I_S&amp;INDEX(T_L4[],HELP!J232,1)
&amp;IF(N_LISTS=4,"",I_S&amp;INDEX(T_L5[],HELP!K232,1)
&amp;IF(N_LISTS=5,"",I_S&amp;INDEX(T_L6[],HELP!L232,1))))))),"")</f>
        <v/>
      </c>
      <c r="Z236" t="str">
        <f ca="1">IFERROR(INDEX(T_L1[LIST 1],HELP!G232),"")</f>
        <v/>
      </c>
      <c r="AA236" t="str">
        <f ca="1">IF(Z236="","",INDEX(T_L2[LIST 2],HELP!H232))</f>
        <v/>
      </c>
      <c r="AB236" t="str">
        <f t="shared" ca="1" si="5"/>
        <v xml:space="preserve"> - </v>
      </c>
    </row>
    <row r="237" spans="16:28" x14ac:dyDescent="0.2">
      <c r="P237" s="7" t="str">
        <f ca="1">IFERROR(IF(HELP!$F233&gt;N,"",INDEX(T_L1[],HELP!G233,1)
&amp;IF(N_LISTS=1,"",I_S&amp;INDEX(T_L2[],HELP!H233,1)
&amp;IF(N_LISTS=2,"",I_S&amp;INDEX(T_L3[],HELP!I233,1)
&amp;IF(N_LISTS=3,"",I_S&amp;INDEX(T_L4[],HELP!J233,1)
&amp;IF(N_LISTS=4,"",I_S&amp;INDEX(T_L5[],HELP!K233,1)
&amp;IF(N_LISTS=5,"",I_S&amp;INDEX(T_L6[],HELP!L233,1))))))),"")</f>
        <v/>
      </c>
      <c r="Z237" t="str">
        <f ca="1">IFERROR(INDEX(T_L1[LIST 1],HELP!G233),"")</f>
        <v/>
      </c>
      <c r="AA237" t="str">
        <f ca="1">IF(Z237="","",INDEX(T_L2[LIST 2],HELP!H233))</f>
        <v/>
      </c>
      <c r="AB237" t="str">
        <f t="shared" ca="1" si="5"/>
        <v xml:space="preserve"> - </v>
      </c>
    </row>
    <row r="238" spans="16:28" x14ac:dyDescent="0.2">
      <c r="P238" s="7" t="str">
        <f ca="1">IFERROR(IF(HELP!$F234&gt;N,"",INDEX(T_L1[],HELP!G234,1)
&amp;IF(N_LISTS=1,"",I_S&amp;INDEX(T_L2[],HELP!H234,1)
&amp;IF(N_LISTS=2,"",I_S&amp;INDEX(T_L3[],HELP!I234,1)
&amp;IF(N_LISTS=3,"",I_S&amp;INDEX(T_L4[],HELP!J234,1)
&amp;IF(N_LISTS=4,"",I_S&amp;INDEX(T_L5[],HELP!K234,1)
&amp;IF(N_LISTS=5,"",I_S&amp;INDEX(T_L6[],HELP!L234,1))))))),"")</f>
        <v/>
      </c>
      <c r="Z238" t="str">
        <f ca="1">IFERROR(INDEX(T_L1[LIST 1],HELP!G234),"")</f>
        <v/>
      </c>
      <c r="AA238" t="str">
        <f ca="1">IF(Z238="","",INDEX(T_L2[LIST 2],HELP!H234))</f>
        <v/>
      </c>
      <c r="AB238" t="str">
        <f t="shared" ca="1" si="5"/>
        <v xml:space="preserve"> - </v>
      </c>
    </row>
    <row r="239" spans="16:28" x14ac:dyDescent="0.2">
      <c r="P239" s="7" t="str">
        <f ca="1">IFERROR(IF(HELP!$F235&gt;N,"",INDEX(T_L1[],HELP!G235,1)
&amp;IF(N_LISTS=1,"",I_S&amp;INDEX(T_L2[],HELP!H235,1)
&amp;IF(N_LISTS=2,"",I_S&amp;INDEX(T_L3[],HELP!I235,1)
&amp;IF(N_LISTS=3,"",I_S&amp;INDEX(T_L4[],HELP!J235,1)
&amp;IF(N_LISTS=4,"",I_S&amp;INDEX(T_L5[],HELP!K235,1)
&amp;IF(N_LISTS=5,"",I_S&amp;INDEX(T_L6[],HELP!L235,1))))))),"")</f>
        <v/>
      </c>
      <c r="Z239" t="str">
        <f ca="1">IFERROR(INDEX(T_L1[LIST 1],HELP!G235),"")</f>
        <v/>
      </c>
      <c r="AA239" t="str">
        <f ca="1">IF(Z239="","",INDEX(T_L2[LIST 2],HELP!H235))</f>
        <v/>
      </c>
      <c r="AB239" t="str">
        <f t="shared" ca="1" si="5"/>
        <v xml:space="preserve"> - </v>
      </c>
    </row>
    <row r="240" spans="16:28" x14ac:dyDescent="0.2">
      <c r="P240" s="7" t="str">
        <f ca="1">IFERROR(IF(HELP!$F236&gt;N,"",INDEX(T_L1[],HELP!G236,1)
&amp;IF(N_LISTS=1,"",I_S&amp;INDEX(T_L2[],HELP!H236,1)
&amp;IF(N_LISTS=2,"",I_S&amp;INDEX(T_L3[],HELP!I236,1)
&amp;IF(N_LISTS=3,"",I_S&amp;INDEX(T_L4[],HELP!J236,1)
&amp;IF(N_LISTS=4,"",I_S&amp;INDEX(T_L5[],HELP!K236,1)
&amp;IF(N_LISTS=5,"",I_S&amp;INDEX(T_L6[],HELP!L236,1))))))),"")</f>
        <v/>
      </c>
      <c r="Z240" t="str">
        <f ca="1">IFERROR(INDEX(T_L1[LIST 1],HELP!G236),"")</f>
        <v/>
      </c>
      <c r="AA240" t="str">
        <f ca="1">IF(Z240="","",INDEX(T_L2[LIST 2],HELP!H236))</f>
        <v/>
      </c>
      <c r="AB240" t="str">
        <f t="shared" ca="1" si="5"/>
        <v xml:space="preserve"> - </v>
      </c>
    </row>
    <row r="241" spans="16:28" x14ac:dyDescent="0.2">
      <c r="P241" s="7" t="str">
        <f ca="1">IFERROR(IF(HELP!$F237&gt;N,"",INDEX(T_L1[],HELP!G237,1)
&amp;IF(N_LISTS=1,"",I_S&amp;INDEX(T_L2[],HELP!H237,1)
&amp;IF(N_LISTS=2,"",I_S&amp;INDEX(T_L3[],HELP!I237,1)
&amp;IF(N_LISTS=3,"",I_S&amp;INDEX(T_L4[],HELP!J237,1)
&amp;IF(N_LISTS=4,"",I_S&amp;INDEX(T_L5[],HELP!K237,1)
&amp;IF(N_LISTS=5,"",I_S&amp;INDEX(T_L6[],HELP!L237,1))))))),"")</f>
        <v/>
      </c>
      <c r="Z241" t="str">
        <f ca="1">IFERROR(INDEX(T_L1[LIST 1],HELP!G237),"")</f>
        <v/>
      </c>
      <c r="AA241" t="str">
        <f ca="1">IF(Z241="","",INDEX(T_L2[LIST 2],HELP!H237))</f>
        <v/>
      </c>
      <c r="AB241" t="str">
        <f t="shared" ca="1" si="5"/>
        <v xml:space="preserve"> - </v>
      </c>
    </row>
    <row r="242" spans="16:28" x14ac:dyDescent="0.2">
      <c r="P242" s="7" t="str">
        <f ca="1">IFERROR(IF(HELP!$F238&gt;N,"",INDEX(T_L1[],HELP!G238,1)
&amp;IF(N_LISTS=1,"",I_S&amp;INDEX(T_L2[],HELP!H238,1)
&amp;IF(N_LISTS=2,"",I_S&amp;INDEX(T_L3[],HELP!I238,1)
&amp;IF(N_LISTS=3,"",I_S&amp;INDEX(T_L4[],HELP!J238,1)
&amp;IF(N_LISTS=4,"",I_S&amp;INDEX(T_L5[],HELP!K238,1)
&amp;IF(N_LISTS=5,"",I_S&amp;INDEX(T_L6[],HELP!L238,1))))))),"")</f>
        <v/>
      </c>
      <c r="Z242" t="str">
        <f ca="1">IFERROR(INDEX(T_L1[LIST 1],HELP!G238),"")</f>
        <v/>
      </c>
      <c r="AA242" t="str">
        <f ca="1">IF(Z242="","",INDEX(T_L2[LIST 2],HELP!H238))</f>
        <v/>
      </c>
      <c r="AB242" t="str">
        <f t="shared" ca="1" si="5"/>
        <v xml:space="preserve"> - </v>
      </c>
    </row>
    <row r="243" spans="16:28" x14ac:dyDescent="0.2">
      <c r="P243" s="7" t="str">
        <f ca="1">IFERROR(IF(HELP!$F239&gt;N,"",INDEX(T_L1[],HELP!G239,1)
&amp;IF(N_LISTS=1,"",I_S&amp;INDEX(T_L2[],HELP!H239,1)
&amp;IF(N_LISTS=2,"",I_S&amp;INDEX(T_L3[],HELP!I239,1)
&amp;IF(N_LISTS=3,"",I_S&amp;INDEX(T_L4[],HELP!J239,1)
&amp;IF(N_LISTS=4,"",I_S&amp;INDEX(T_L5[],HELP!K239,1)
&amp;IF(N_LISTS=5,"",I_S&amp;INDEX(T_L6[],HELP!L239,1))))))),"")</f>
        <v/>
      </c>
      <c r="Z243" t="str">
        <f ca="1">IFERROR(INDEX(T_L1[LIST 1],HELP!G239),"")</f>
        <v/>
      </c>
      <c r="AA243" t="str">
        <f ca="1">IF(Z243="","",INDEX(T_L2[LIST 2],HELP!H239))</f>
        <v/>
      </c>
      <c r="AB243" t="str">
        <f t="shared" ca="1" si="5"/>
        <v xml:space="preserve"> - </v>
      </c>
    </row>
    <row r="244" spans="16:28" x14ac:dyDescent="0.2">
      <c r="P244" s="7" t="str">
        <f ca="1">IFERROR(IF(HELP!$F240&gt;N,"",INDEX(T_L1[],HELP!G240,1)
&amp;IF(N_LISTS=1,"",I_S&amp;INDEX(T_L2[],HELP!H240,1)
&amp;IF(N_LISTS=2,"",I_S&amp;INDEX(T_L3[],HELP!I240,1)
&amp;IF(N_LISTS=3,"",I_S&amp;INDEX(T_L4[],HELP!J240,1)
&amp;IF(N_LISTS=4,"",I_S&amp;INDEX(T_L5[],HELP!K240,1)
&amp;IF(N_LISTS=5,"",I_S&amp;INDEX(T_L6[],HELP!L240,1))))))),"")</f>
        <v/>
      </c>
      <c r="Z244" t="str">
        <f ca="1">IFERROR(INDEX(T_L1[LIST 1],HELP!G240),"")</f>
        <v/>
      </c>
      <c r="AA244" t="str">
        <f ca="1">IF(Z244="","",INDEX(T_L2[LIST 2],HELP!H240))</f>
        <v/>
      </c>
      <c r="AB244" t="str">
        <f t="shared" ca="1" si="5"/>
        <v xml:space="preserve"> - </v>
      </c>
    </row>
    <row r="245" spans="16:28" x14ac:dyDescent="0.2">
      <c r="P245" s="7" t="str">
        <f ca="1">IFERROR(IF(HELP!$F241&gt;N,"",INDEX(T_L1[],HELP!G241,1)
&amp;IF(N_LISTS=1,"",I_S&amp;INDEX(T_L2[],HELP!H241,1)
&amp;IF(N_LISTS=2,"",I_S&amp;INDEX(T_L3[],HELP!I241,1)
&amp;IF(N_LISTS=3,"",I_S&amp;INDEX(T_L4[],HELP!J241,1)
&amp;IF(N_LISTS=4,"",I_S&amp;INDEX(T_L5[],HELP!K241,1)
&amp;IF(N_LISTS=5,"",I_S&amp;INDEX(T_L6[],HELP!L241,1))))))),"")</f>
        <v/>
      </c>
      <c r="Z245" t="str">
        <f ca="1">IFERROR(INDEX(T_L1[LIST 1],HELP!G241),"")</f>
        <v/>
      </c>
      <c r="AA245" t="str">
        <f ca="1">IF(Z245="","",INDEX(T_L2[LIST 2],HELP!H241))</f>
        <v/>
      </c>
      <c r="AB245" t="str">
        <f t="shared" ca="1" si="5"/>
        <v xml:space="preserve"> - </v>
      </c>
    </row>
    <row r="246" spans="16:28" x14ac:dyDescent="0.2">
      <c r="P246" s="7" t="str">
        <f ca="1">IFERROR(IF(HELP!$F242&gt;N,"",INDEX(T_L1[],HELP!G242,1)
&amp;IF(N_LISTS=1,"",I_S&amp;INDEX(T_L2[],HELP!H242,1)
&amp;IF(N_LISTS=2,"",I_S&amp;INDEX(T_L3[],HELP!I242,1)
&amp;IF(N_LISTS=3,"",I_S&amp;INDEX(T_L4[],HELP!J242,1)
&amp;IF(N_LISTS=4,"",I_S&amp;INDEX(T_L5[],HELP!K242,1)
&amp;IF(N_LISTS=5,"",I_S&amp;INDEX(T_L6[],HELP!L242,1))))))),"")</f>
        <v/>
      </c>
      <c r="Z246" t="str">
        <f ca="1">IFERROR(INDEX(T_L1[LIST 1],HELP!G242),"")</f>
        <v/>
      </c>
      <c r="AA246" t="str">
        <f ca="1">IF(Z246="","",INDEX(T_L2[LIST 2],HELP!H242))</f>
        <v/>
      </c>
      <c r="AB246" t="str">
        <f t="shared" ca="1" si="5"/>
        <v xml:space="preserve"> - </v>
      </c>
    </row>
    <row r="247" spans="16:28" x14ac:dyDescent="0.2">
      <c r="P247" s="7" t="str">
        <f ca="1">IFERROR(IF(HELP!$F243&gt;N,"",INDEX(T_L1[],HELP!G243,1)
&amp;IF(N_LISTS=1,"",I_S&amp;INDEX(T_L2[],HELP!H243,1)
&amp;IF(N_LISTS=2,"",I_S&amp;INDEX(T_L3[],HELP!I243,1)
&amp;IF(N_LISTS=3,"",I_S&amp;INDEX(T_L4[],HELP!J243,1)
&amp;IF(N_LISTS=4,"",I_S&amp;INDEX(T_L5[],HELP!K243,1)
&amp;IF(N_LISTS=5,"",I_S&amp;INDEX(T_L6[],HELP!L243,1))))))),"")</f>
        <v/>
      </c>
      <c r="Z247" t="str">
        <f ca="1">IFERROR(INDEX(T_L1[LIST 1],HELP!G243),"")</f>
        <v/>
      </c>
      <c r="AA247" t="str">
        <f ca="1">IF(Z247="","",INDEX(T_L2[LIST 2],HELP!H243))</f>
        <v/>
      </c>
      <c r="AB247" t="str">
        <f t="shared" ca="1" si="5"/>
        <v xml:space="preserve"> - </v>
      </c>
    </row>
    <row r="248" spans="16:28" x14ac:dyDescent="0.2">
      <c r="P248" s="7" t="str">
        <f ca="1">IFERROR(IF(HELP!$F244&gt;N,"",INDEX(T_L1[],HELP!G244,1)
&amp;IF(N_LISTS=1,"",I_S&amp;INDEX(T_L2[],HELP!H244,1)
&amp;IF(N_LISTS=2,"",I_S&amp;INDEX(T_L3[],HELP!I244,1)
&amp;IF(N_LISTS=3,"",I_S&amp;INDEX(T_L4[],HELP!J244,1)
&amp;IF(N_LISTS=4,"",I_S&amp;INDEX(T_L5[],HELP!K244,1)
&amp;IF(N_LISTS=5,"",I_S&amp;INDEX(T_L6[],HELP!L244,1))))))),"")</f>
        <v/>
      </c>
      <c r="Z248" t="str">
        <f ca="1">IFERROR(INDEX(T_L1[LIST 1],HELP!G244),"")</f>
        <v/>
      </c>
      <c r="AA248" t="str">
        <f ca="1">IF(Z248="","",INDEX(T_L2[LIST 2],HELP!H244))</f>
        <v/>
      </c>
      <c r="AB248" t="str">
        <f t="shared" ca="1" si="5"/>
        <v xml:space="preserve"> - </v>
      </c>
    </row>
    <row r="249" spans="16:28" x14ac:dyDescent="0.2">
      <c r="P249" s="7" t="str">
        <f ca="1">IFERROR(IF(HELP!$F245&gt;N,"",INDEX(T_L1[],HELP!G245,1)
&amp;IF(N_LISTS=1,"",I_S&amp;INDEX(T_L2[],HELP!H245,1)
&amp;IF(N_LISTS=2,"",I_S&amp;INDEX(T_L3[],HELP!I245,1)
&amp;IF(N_LISTS=3,"",I_S&amp;INDEX(T_L4[],HELP!J245,1)
&amp;IF(N_LISTS=4,"",I_S&amp;INDEX(T_L5[],HELP!K245,1)
&amp;IF(N_LISTS=5,"",I_S&amp;INDEX(T_L6[],HELP!L245,1))))))),"")</f>
        <v/>
      </c>
      <c r="Z249" t="str">
        <f ca="1">IFERROR(INDEX(T_L1[LIST 1],HELP!G245),"")</f>
        <v/>
      </c>
      <c r="AA249" t="str">
        <f ca="1">IF(Z249="","",INDEX(T_L2[LIST 2],HELP!H245))</f>
        <v/>
      </c>
      <c r="AB249" t="str">
        <f t="shared" ca="1" si="5"/>
        <v xml:space="preserve"> - </v>
      </c>
    </row>
    <row r="250" spans="16:28" x14ac:dyDescent="0.2">
      <c r="P250" s="7" t="str">
        <f ca="1">IFERROR(IF(HELP!$F246&gt;N,"",INDEX(T_L1[],HELP!G246,1)
&amp;IF(N_LISTS=1,"",I_S&amp;INDEX(T_L2[],HELP!H246,1)
&amp;IF(N_LISTS=2,"",I_S&amp;INDEX(T_L3[],HELP!I246,1)
&amp;IF(N_LISTS=3,"",I_S&amp;INDEX(T_L4[],HELP!J246,1)
&amp;IF(N_LISTS=4,"",I_S&amp;INDEX(T_L5[],HELP!K246,1)
&amp;IF(N_LISTS=5,"",I_S&amp;INDEX(T_L6[],HELP!L246,1))))))),"")</f>
        <v/>
      </c>
      <c r="Z250" t="str">
        <f ca="1">IFERROR(INDEX(T_L1[LIST 1],HELP!G246),"")</f>
        <v/>
      </c>
      <c r="AA250" t="str">
        <f ca="1">IF(Z250="","",INDEX(T_L2[LIST 2],HELP!H246))</f>
        <v/>
      </c>
      <c r="AB250" t="str">
        <f t="shared" ca="1" si="5"/>
        <v xml:space="preserve"> - </v>
      </c>
    </row>
    <row r="251" spans="16:28" x14ac:dyDescent="0.2">
      <c r="P251" s="7" t="str">
        <f ca="1">IFERROR(IF(HELP!$F247&gt;N,"",INDEX(T_L1[],HELP!G247,1)
&amp;IF(N_LISTS=1,"",I_S&amp;INDEX(T_L2[],HELP!H247,1)
&amp;IF(N_LISTS=2,"",I_S&amp;INDEX(T_L3[],HELP!I247,1)
&amp;IF(N_LISTS=3,"",I_S&amp;INDEX(T_L4[],HELP!J247,1)
&amp;IF(N_LISTS=4,"",I_S&amp;INDEX(T_L5[],HELP!K247,1)
&amp;IF(N_LISTS=5,"",I_S&amp;INDEX(T_L6[],HELP!L247,1))))))),"")</f>
        <v/>
      </c>
      <c r="Z251" t="str">
        <f ca="1">IFERROR(INDEX(T_L1[LIST 1],HELP!G247),"")</f>
        <v/>
      </c>
      <c r="AA251" t="str">
        <f ca="1">IF(Z251="","",INDEX(T_L2[LIST 2],HELP!H247))</f>
        <v/>
      </c>
      <c r="AB251" t="str">
        <f t="shared" ca="1" si="5"/>
        <v xml:space="preserve"> - </v>
      </c>
    </row>
    <row r="252" spans="16:28" x14ac:dyDescent="0.2">
      <c r="P252" s="7" t="str">
        <f ca="1">IFERROR(IF(HELP!$F248&gt;N,"",INDEX(T_L1[],HELP!G248,1)
&amp;IF(N_LISTS=1,"",I_S&amp;INDEX(T_L2[],HELP!H248,1)
&amp;IF(N_LISTS=2,"",I_S&amp;INDEX(T_L3[],HELP!I248,1)
&amp;IF(N_LISTS=3,"",I_S&amp;INDEX(T_L4[],HELP!J248,1)
&amp;IF(N_LISTS=4,"",I_S&amp;INDEX(T_L5[],HELP!K248,1)
&amp;IF(N_LISTS=5,"",I_S&amp;INDEX(T_L6[],HELP!L248,1))))))),"")</f>
        <v/>
      </c>
      <c r="Z252" t="str">
        <f ca="1">IFERROR(INDEX(T_L1[LIST 1],HELP!G248),"")</f>
        <v/>
      </c>
      <c r="AA252" t="str">
        <f ca="1">IF(Z252="","",INDEX(T_L2[LIST 2],HELP!H248))</f>
        <v/>
      </c>
      <c r="AB252" t="str">
        <f t="shared" ca="1" si="5"/>
        <v xml:space="preserve"> - </v>
      </c>
    </row>
    <row r="253" spans="16:28" x14ac:dyDescent="0.2">
      <c r="P253" s="7" t="str">
        <f ca="1">IFERROR(IF(HELP!$F249&gt;N,"",INDEX(T_L1[],HELP!G249,1)
&amp;IF(N_LISTS=1,"",I_S&amp;INDEX(T_L2[],HELP!H249,1)
&amp;IF(N_LISTS=2,"",I_S&amp;INDEX(T_L3[],HELP!I249,1)
&amp;IF(N_LISTS=3,"",I_S&amp;INDEX(T_L4[],HELP!J249,1)
&amp;IF(N_LISTS=4,"",I_S&amp;INDEX(T_L5[],HELP!K249,1)
&amp;IF(N_LISTS=5,"",I_S&amp;INDEX(T_L6[],HELP!L249,1))))))),"")</f>
        <v/>
      </c>
      <c r="Z253" t="str">
        <f ca="1">IFERROR(INDEX(T_L1[LIST 1],HELP!G249),"")</f>
        <v/>
      </c>
      <c r="AA253" t="str">
        <f ca="1">IF(Z253="","",INDEX(T_L2[LIST 2],HELP!H249))</f>
        <v/>
      </c>
      <c r="AB253" t="str">
        <f t="shared" ca="1" si="5"/>
        <v xml:space="preserve"> - </v>
      </c>
    </row>
    <row r="254" spans="16:28" x14ac:dyDescent="0.2">
      <c r="P254" s="7" t="str">
        <f ca="1">IFERROR(IF(HELP!$F250&gt;N,"",INDEX(T_L1[],HELP!G250,1)
&amp;IF(N_LISTS=1,"",I_S&amp;INDEX(T_L2[],HELP!H250,1)
&amp;IF(N_LISTS=2,"",I_S&amp;INDEX(T_L3[],HELP!I250,1)
&amp;IF(N_LISTS=3,"",I_S&amp;INDEX(T_L4[],HELP!J250,1)
&amp;IF(N_LISTS=4,"",I_S&amp;INDEX(T_L5[],HELP!K250,1)
&amp;IF(N_LISTS=5,"",I_S&amp;INDEX(T_L6[],HELP!L250,1))))))),"")</f>
        <v/>
      </c>
      <c r="Z254" t="str">
        <f ca="1">IFERROR(INDEX(T_L1[LIST 1],HELP!G250),"")</f>
        <v/>
      </c>
      <c r="AA254" t="str">
        <f ca="1">IF(Z254="","",INDEX(T_L2[LIST 2],HELP!H250))</f>
        <v/>
      </c>
      <c r="AB254" t="str">
        <f t="shared" ca="1" si="5"/>
        <v xml:space="preserve"> - </v>
      </c>
    </row>
    <row r="255" spans="16:28" x14ac:dyDescent="0.2">
      <c r="P255" s="7" t="str">
        <f ca="1">IFERROR(IF(HELP!$F251&gt;N,"",INDEX(T_L1[],HELP!G251,1)
&amp;IF(N_LISTS=1,"",I_S&amp;INDEX(T_L2[],HELP!H251,1)
&amp;IF(N_LISTS=2,"",I_S&amp;INDEX(T_L3[],HELP!I251,1)
&amp;IF(N_LISTS=3,"",I_S&amp;INDEX(T_L4[],HELP!J251,1)
&amp;IF(N_LISTS=4,"",I_S&amp;INDEX(T_L5[],HELP!K251,1)
&amp;IF(N_LISTS=5,"",I_S&amp;INDEX(T_L6[],HELP!L251,1))))))),"")</f>
        <v/>
      </c>
      <c r="Z255" t="str">
        <f ca="1">IFERROR(INDEX(T_L1[LIST 1],HELP!G251),"")</f>
        <v/>
      </c>
      <c r="AA255" t="str">
        <f ca="1">IF(Z255="","",INDEX(T_L2[LIST 2],HELP!H251))</f>
        <v/>
      </c>
      <c r="AB255" t="str">
        <f t="shared" ca="1" si="5"/>
        <v xml:space="preserve"> - </v>
      </c>
    </row>
    <row r="256" spans="16:28" x14ac:dyDescent="0.2">
      <c r="P256" s="7" t="str">
        <f ca="1">IFERROR(IF(HELP!$F252&gt;N,"",INDEX(T_L1[],HELP!G252,1)
&amp;IF(N_LISTS=1,"",I_S&amp;INDEX(T_L2[],HELP!H252,1)
&amp;IF(N_LISTS=2,"",I_S&amp;INDEX(T_L3[],HELP!I252,1)
&amp;IF(N_LISTS=3,"",I_S&amp;INDEX(T_L4[],HELP!J252,1)
&amp;IF(N_LISTS=4,"",I_S&amp;INDEX(T_L5[],HELP!K252,1)
&amp;IF(N_LISTS=5,"",I_S&amp;INDEX(T_L6[],HELP!L252,1))))))),"")</f>
        <v/>
      </c>
      <c r="Z256" t="str">
        <f ca="1">IFERROR(INDEX(T_L1[LIST 1],HELP!G252),"")</f>
        <v/>
      </c>
      <c r="AA256" t="str">
        <f ca="1">IF(Z256="","",INDEX(T_L2[LIST 2],HELP!H252))</f>
        <v/>
      </c>
      <c r="AB256" t="str">
        <f t="shared" ca="1" si="5"/>
        <v xml:space="preserve"> - </v>
      </c>
    </row>
    <row r="257" spans="16:28" x14ac:dyDescent="0.2">
      <c r="P257" s="7" t="str">
        <f ca="1">IFERROR(IF(HELP!$F253&gt;N,"",INDEX(T_L1[],HELP!G253,1)
&amp;IF(N_LISTS=1,"",I_S&amp;INDEX(T_L2[],HELP!H253,1)
&amp;IF(N_LISTS=2,"",I_S&amp;INDEX(T_L3[],HELP!I253,1)
&amp;IF(N_LISTS=3,"",I_S&amp;INDEX(T_L4[],HELP!J253,1)
&amp;IF(N_LISTS=4,"",I_S&amp;INDEX(T_L5[],HELP!K253,1)
&amp;IF(N_LISTS=5,"",I_S&amp;INDEX(T_L6[],HELP!L253,1))))))),"")</f>
        <v/>
      </c>
      <c r="Z257" t="str">
        <f ca="1">IFERROR(INDEX(T_L1[LIST 1],HELP!G253),"")</f>
        <v/>
      </c>
      <c r="AA257" t="str">
        <f ca="1">IF(Z257="","",INDEX(T_L2[LIST 2],HELP!H253))</f>
        <v/>
      </c>
      <c r="AB257" t="str">
        <f t="shared" ca="1" si="5"/>
        <v xml:space="preserve"> - </v>
      </c>
    </row>
    <row r="258" spans="16:28" x14ac:dyDescent="0.2">
      <c r="P258" s="7" t="str">
        <f ca="1">IFERROR(IF(HELP!$F254&gt;N,"",INDEX(T_L1[],HELP!G254,1)
&amp;IF(N_LISTS=1,"",I_S&amp;INDEX(T_L2[],HELP!H254,1)
&amp;IF(N_LISTS=2,"",I_S&amp;INDEX(T_L3[],HELP!I254,1)
&amp;IF(N_LISTS=3,"",I_S&amp;INDEX(T_L4[],HELP!J254,1)
&amp;IF(N_LISTS=4,"",I_S&amp;INDEX(T_L5[],HELP!K254,1)
&amp;IF(N_LISTS=5,"",I_S&amp;INDEX(T_L6[],HELP!L254,1))))))),"")</f>
        <v/>
      </c>
      <c r="Z258" t="str">
        <f ca="1">IFERROR(INDEX(T_L1[LIST 1],HELP!G254),"")</f>
        <v/>
      </c>
      <c r="AA258" t="str">
        <f ca="1">IF(Z258="","",INDEX(T_L2[LIST 2],HELP!H254))</f>
        <v/>
      </c>
      <c r="AB258" t="str">
        <f t="shared" ca="1" si="5"/>
        <v xml:space="preserve"> - </v>
      </c>
    </row>
    <row r="259" spans="16:28" x14ac:dyDescent="0.2">
      <c r="P259" s="7" t="str">
        <f ca="1">IFERROR(IF(HELP!$F255&gt;N,"",INDEX(T_L1[],HELP!G255,1)
&amp;IF(N_LISTS=1,"",I_S&amp;INDEX(T_L2[],HELP!H255,1)
&amp;IF(N_LISTS=2,"",I_S&amp;INDEX(T_L3[],HELP!I255,1)
&amp;IF(N_LISTS=3,"",I_S&amp;INDEX(T_L4[],HELP!J255,1)
&amp;IF(N_LISTS=4,"",I_S&amp;INDEX(T_L5[],HELP!K255,1)
&amp;IF(N_LISTS=5,"",I_S&amp;INDEX(T_L6[],HELP!L255,1))))))),"")</f>
        <v/>
      </c>
      <c r="Z259" t="str">
        <f ca="1">IFERROR(INDEX(T_L1[LIST 1],HELP!G255),"")</f>
        <v/>
      </c>
      <c r="AA259" t="str">
        <f ca="1">IF(Z259="","",INDEX(T_L2[LIST 2],HELP!H255))</f>
        <v/>
      </c>
      <c r="AB259" t="str">
        <f t="shared" ca="1" si="5"/>
        <v xml:space="preserve"> - </v>
      </c>
    </row>
    <row r="260" spans="16:28" x14ac:dyDescent="0.2">
      <c r="P260" s="7" t="str">
        <f ca="1">IFERROR(IF(HELP!$F256&gt;N,"",INDEX(T_L1[],HELP!G256,1)
&amp;IF(N_LISTS=1,"",I_S&amp;INDEX(T_L2[],HELP!H256,1)
&amp;IF(N_LISTS=2,"",I_S&amp;INDEX(T_L3[],HELP!I256,1)
&amp;IF(N_LISTS=3,"",I_S&amp;INDEX(T_L4[],HELP!J256,1)
&amp;IF(N_LISTS=4,"",I_S&amp;INDEX(T_L5[],HELP!K256,1)
&amp;IF(N_LISTS=5,"",I_S&amp;INDEX(T_L6[],HELP!L256,1))))))),"")</f>
        <v/>
      </c>
      <c r="Z260" t="str">
        <f ca="1">IFERROR(INDEX(T_L1[LIST 1],HELP!G256),"")</f>
        <v/>
      </c>
      <c r="AA260" t="str">
        <f ca="1">IF(Z260="","",INDEX(T_L2[LIST 2],HELP!H256))</f>
        <v/>
      </c>
      <c r="AB260" t="str">
        <f t="shared" ca="1" si="5"/>
        <v xml:space="preserve"> - </v>
      </c>
    </row>
    <row r="261" spans="16:28" x14ac:dyDescent="0.2">
      <c r="P261" s="7" t="str">
        <f ca="1">IFERROR(IF(HELP!$F257&gt;N,"",INDEX(T_L1[],HELP!G257,1)
&amp;IF(N_LISTS=1,"",I_S&amp;INDEX(T_L2[],HELP!H257,1)
&amp;IF(N_LISTS=2,"",I_S&amp;INDEX(T_L3[],HELP!I257,1)
&amp;IF(N_LISTS=3,"",I_S&amp;INDEX(T_L4[],HELP!J257,1)
&amp;IF(N_LISTS=4,"",I_S&amp;INDEX(T_L5[],HELP!K257,1)
&amp;IF(N_LISTS=5,"",I_S&amp;INDEX(T_L6[],HELP!L257,1))))))),"")</f>
        <v/>
      </c>
      <c r="Z261" t="str">
        <f ca="1">IFERROR(INDEX(T_L1[LIST 1],HELP!G257),"")</f>
        <v/>
      </c>
      <c r="AA261" t="str">
        <f ca="1">IF(Z261="","",INDEX(T_L2[LIST 2],HELP!H257))</f>
        <v/>
      </c>
      <c r="AB261" t="str">
        <f t="shared" ca="1" si="5"/>
        <v xml:space="preserve"> - </v>
      </c>
    </row>
    <row r="262" spans="16:28" x14ac:dyDescent="0.2">
      <c r="P262" s="7" t="str">
        <f ca="1">IFERROR(IF(HELP!$F258&gt;N,"",INDEX(T_L1[],HELP!G258,1)
&amp;IF(N_LISTS=1,"",I_S&amp;INDEX(T_L2[],HELP!H258,1)
&amp;IF(N_LISTS=2,"",I_S&amp;INDEX(T_L3[],HELP!I258,1)
&amp;IF(N_LISTS=3,"",I_S&amp;INDEX(T_L4[],HELP!J258,1)
&amp;IF(N_LISTS=4,"",I_S&amp;INDEX(T_L5[],HELP!K258,1)
&amp;IF(N_LISTS=5,"",I_S&amp;INDEX(T_L6[],HELP!L258,1))))))),"")</f>
        <v/>
      </c>
      <c r="Z262" t="str">
        <f ca="1">IFERROR(INDEX(T_L1[LIST 1],HELP!G258),"")</f>
        <v/>
      </c>
      <c r="AA262" t="str">
        <f ca="1">IF(Z262="","",INDEX(T_L2[LIST 2],HELP!H258))</f>
        <v/>
      </c>
      <c r="AB262" t="str">
        <f t="shared" ca="1" si="5"/>
        <v xml:space="preserve"> - </v>
      </c>
    </row>
    <row r="263" spans="16:28" x14ac:dyDescent="0.2">
      <c r="P263" s="7" t="str">
        <f ca="1">IFERROR(IF(HELP!$F259&gt;N,"",INDEX(T_L1[],HELP!G259,1)
&amp;IF(N_LISTS=1,"",I_S&amp;INDEX(T_L2[],HELP!H259,1)
&amp;IF(N_LISTS=2,"",I_S&amp;INDEX(T_L3[],HELP!I259,1)
&amp;IF(N_LISTS=3,"",I_S&amp;INDEX(T_L4[],HELP!J259,1)
&amp;IF(N_LISTS=4,"",I_S&amp;INDEX(T_L5[],HELP!K259,1)
&amp;IF(N_LISTS=5,"",I_S&amp;INDEX(T_L6[],HELP!L259,1))))))),"")</f>
        <v/>
      </c>
      <c r="Z263" t="str">
        <f ca="1">IFERROR(INDEX(T_L1[LIST 1],HELP!G259),"")</f>
        <v/>
      </c>
      <c r="AA263" t="str">
        <f ca="1">IF(Z263="","",INDEX(T_L2[LIST 2],HELP!H259))</f>
        <v/>
      </c>
      <c r="AB263" t="str">
        <f t="shared" ca="1" si="5"/>
        <v xml:space="preserve"> - </v>
      </c>
    </row>
    <row r="264" spans="16:28" x14ac:dyDescent="0.2">
      <c r="P264" s="7" t="str">
        <f ca="1">IFERROR(IF(HELP!$F260&gt;N,"",INDEX(T_L1[],HELP!G260,1)
&amp;IF(N_LISTS=1,"",I_S&amp;INDEX(T_L2[],HELP!H260,1)
&amp;IF(N_LISTS=2,"",I_S&amp;INDEX(T_L3[],HELP!I260,1)
&amp;IF(N_LISTS=3,"",I_S&amp;INDEX(T_L4[],HELP!J260,1)
&amp;IF(N_LISTS=4,"",I_S&amp;INDEX(T_L5[],HELP!K260,1)
&amp;IF(N_LISTS=5,"",I_S&amp;INDEX(T_L6[],HELP!L260,1))))))),"")</f>
        <v/>
      </c>
      <c r="Z264" t="str">
        <f ca="1">IFERROR(INDEX(T_L1[LIST 1],HELP!G260),"")</f>
        <v/>
      </c>
      <c r="AA264" t="str">
        <f ca="1">IF(Z264="","",INDEX(T_L2[LIST 2],HELP!H260))</f>
        <v/>
      </c>
      <c r="AB264" t="str">
        <f t="shared" ca="1" si="5"/>
        <v xml:space="preserve"> - </v>
      </c>
    </row>
    <row r="265" spans="16:28" x14ac:dyDescent="0.2">
      <c r="P265" s="7" t="str">
        <f ca="1">IFERROR(IF(HELP!$F261&gt;N,"",INDEX(T_L1[],HELP!G261,1)
&amp;IF(N_LISTS=1,"",I_S&amp;INDEX(T_L2[],HELP!H261,1)
&amp;IF(N_LISTS=2,"",I_S&amp;INDEX(T_L3[],HELP!I261,1)
&amp;IF(N_LISTS=3,"",I_S&amp;INDEX(T_L4[],HELP!J261,1)
&amp;IF(N_LISTS=4,"",I_S&amp;INDEX(T_L5[],HELP!K261,1)
&amp;IF(N_LISTS=5,"",I_S&amp;INDEX(T_L6[],HELP!L261,1))))))),"")</f>
        <v/>
      </c>
      <c r="Z265" t="str">
        <f ca="1">IFERROR(INDEX(T_L1[LIST 1],HELP!G261),"")</f>
        <v/>
      </c>
      <c r="AA265" t="str">
        <f ca="1">IF(Z265="","",INDEX(T_L2[LIST 2],HELP!H261))</f>
        <v/>
      </c>
      <c r="AB265" t="str">
        <f t="shared" ca="1" si="5"/>
        <v xml:space="preserve"> - </v>
      </c>
    </row>
    <row r="266" spans="16:28" x14ac:dyDescent="0.2">
      <c r="P266" s="7" t="str">
        <f ca="1">IFERROR(IF(HELP!$F262&gt;N,"",INDEX(T_L1[],HELP!G262,1)
&amp;IF(N_LISTS=1,"",I_S&amp;INDEX(T_L2[],HELP!H262,1)
&amp;IF(N_LISTS=2,"",I_S&amp;INDEX(T_L3[],HELP!I262,1)
&amp;IF(N_LISTS=3,"",I_S&amp;INDEX(T_L4[],HELP!J262,1)
&amp;IF(N_LISTS=4,"",I_S&amp;INDEX(T_L5[],HELP!K262,1)
&amp;IF(N_LISTS=5,"",I_S&amp;INDEX(T_L6[],HELP!L262,1))))))),"")</f>
        <v/>
      </c>
      <c r="Z266" t="str">
        <f ca="1">IFERROR(INDEX(T_L1[LIST 1],HELP!G262),"")</f>
        <v/>
      </c>
      <c r="AA266" t="str">
        <f ca="1">IF(Z266="","",INDEX(T_L2[LIST 2],HELP!H262))</f>
        <v/>
      </c>
      <c r="AB266" t="str">
        <f t="shared" ca="1" si="5"/>
        <v xml:space="preserve"> - </v>
      </c>
    </row>
    <row r="267" spans="16:28" x14ac:dyDescent="0.2">
      <c r="P267" s="7" t="str">
        <f ca="1">IFERROR(IF(HELP!$F263&gt;N,"",INDEX(T_L1[],HELP!G263,1)
&amp;IF(N_LISTS=1,"",I_S&amp;INDEX(T_L2[],HELP!H263,1)
&amp;IF(N_LISTS=2,"",I_S&amp;INDEX(T_L3[],HELP!I263,1)
&amp;IF(N_LISTS=3,"",I_S&amp;INDEX(T_L4[],HELP!J263,1)
&amp;IF(N_LISTS=4,"",I_S&amp;INDEX(T_L5[],HELP!K263,1)
&amp;IF(N_LISTS=5,"",I_S&amp;INDEX(T_L6[],HELP!L263,1))))))),"")</f>
        <v/>
      </c>
      <c r="Z267" t="str">
        <f ca="1">IFERROR(INDEX(T_L1[LIST 1],HELP!G263),"")</f>
        <v/>
      </c>
      <c r="AA267" t="str">
        <f ca="1">IF(Z267="","",INDEX(T_L2[LIST 2],HELP!H263))</f>
        <v/>
      </c>
      <c r="AB267" t="str">
        <f t="shared" ca="1" si="5"/>
        <v xml:space="preserve"> - </v>
      </c>
    </row>
    <row r="268" spans="16:28" x14ac:dyDescent="0.2">
      <c r="P268" s="7" t="str">
        <f ca="1">IFERROR(IF(HELP!$F264&gt;N,"",INDEX(T_L1[],HELP!G264,1)
&amp;IF(N_LISTS=1,"",I_S&amp;INDEX(T_L2[],HELP!H264,1)
&amp;IF(N_LISTS=2,"",I_S&amp;INDEX(T_L3[],HELP!I264,1)
&amp;IF(N_LISTS=3,"",I_S&amp;INDEX(T_L4[],HELP!J264,1)
&amp;IF(N_LISTS=4,"",I_S&amp;INDEX(T_L5[],HELP!K264,1)
&amp;IF(N_LISTS=5,"",I_S&amp;INDEX(T_L6[],HELP!L264,1))))))),"")</f>
        <v/>
      </c>
      <c r="Z268" t="str">
        <f ca="1">IFERROR(INDEX(T_L1[LIST 1],HELP!G264),"")</f>
        <v/>
      </c>
      <c r="AA268" t="str">
        <f ca="1">IF(Z268="","",INDEX(T_L2[LIST 2],HELP!H264))</f>
        <v/>
      </c>
      <c r="AB268" t="str">
        <f t="shared" ca="1" si="5"/>
        <v xml:space="preserve"> - </v>
      </c>
    </row>
    <row r="269" spans="16:28" x14ac:dyDescent="0.2">
      <c r="P269" s="7" t="str">
        <f ca="1">IFERROR(IF(HELP!$F265&gt;N,"",INDEX(T_L1[],HELP!G265,1)
&amp;IF(N_LISTS=1,"",I_S&amp;INDEX(T_L2[],HELP!H265,1)
&amp;IF(N_LISTS=2,"",I_S&amp;INDEX(T_L3[],HELP!I265,1)
&amp;IF(N_LISTS=3,"",I_S&amp;INDEX(T_L4[],HELP!J265,1)
&amp;IF(N_LISTS=4,"",I_S&amp;INDEX(T_L5[],HELP!K265,1)
&amp;IF(N_LISTS=5,"",I_S&amp;INDEX(T_L6[],HELP!L265,1))))))),"")</f>
        <v/>
      </c>
      <c r="Z269" t="str">
        <f ca="1">IFERROR(INDEX(T_L1[LIST 1],HELP!G265),"")</f>
        <v/>
      </c>
      <c r="AA269" t="str">
        <f ca="1">IF(Z269="","",INDEX(T_L2[LIST 2],HELP!H265))</f>
        <v/>
      </c>
      <c r="AB269" t="str">
        <f t="shared" ca="1" si="5"/>
        <v xml:space="preserve"> - </v>
      </c>
    </row>
    <row r="270" spans="16:28" x14ac:dyDescent="0.2">
      <c r="P270" s="7" t="str">
        <f ca="1">IFERROR(IF(HELP!$F266&gt;N,"",INDEX(T_L1[],HELP!G266,1)
&amp;IF(N_LISTS=1,"",I_S&amp;INDEX(T_L2[],HELP!H266,1)
&amp;IF(N_LISTS=2,"",I_S&amp;INDEX(T_L3[],HELP!I266,1)
&amp;IF(N_LISTS=3,"",I_S&amp;INDEX(T_L4[],HELP!J266,1)
&amp;IF(N_LISTS=4,"",I_S&amp;INDEX(T_L5[],HELP!K266,1)
&amp;IF(N_LISTS=5,"",I_S&amp;INDEX(T_L6[],HELP!L266,1))))))),"")</f>
        <v/>
      </c>
      <c r="Z270" t="str">
        <f ca="1">IFERROR(INDEX(T_L1[LIST 1],HELP!G266),"")</f>
        <v/>
      </c>
      <c r="AA270" t="str">
        <f ca="1">IF(Z270="","",INDEX(T_L2[LIST 2],HELP!H266))</f>
        <v/>
      </c>
      <c r="AB270" t="str">
        <f t="shared" ca="1" si="5"/>
        <v xml:space="preserve"> - </v>
      </c>
    </row>
    <row r="271" spans="16:28" x14ac:dyDescent="0.2">
      <c r="P271" s="7" t="str">
        <f ca="1">IFERROR(IF(HELP!$F267&gt;N,"",INDEX(T_L1[],HELP!G267,1)
&amp;IF(N_LISTS=1,"",I_S&amp;INDEX(T_L2[],HELP!H267,1)
&amp;IF(N_LISTS=2,"",I_S&amp;INDEX(T_L3[],HELP!I267,1)
&amp;IF(N_LISTS=3,"",I_S&amp;INDEX(T_L4[],HELP!J267,1)
&amp;IF(N_LISTS=4,"",I_S&amp;INDEX(T_L5[],HELP!K267,1)
&amp;IF(N_LISTS=5,"",I_S&amp;INDEX(T_L6[],HELP!L267,1))))))),"")</f>
        <v/>
      </c>
      <c r="Z271" t="str">
        <f ca="1">IFERROR(INDEX(T_L1[LIST 1],HELP!G267),"")</f>
        <v/>
      </c>
      <c r="AA271" t="str">
        <f ca="1">IF(Z271="","",INDEX(T_L2[LIST 2],HELP!H267))</f>
        <v/>
      </c>
      <c r="AB271" t="str">
        <f t="shared" ca="1" si="5"/>
        <v xml:space="preserve"> - </v>
      </c>
    </row>
    <row r="272" spans="16:28" x14ac:dyDescent="0.2">
      <c r="P272" s="7" t="str">
        <f ca="1">IFERROR(IF(HELP!$F268&gt;N,"",INDEX(T_L1[],HELP!G268,1)
&amp;IF(N_LISTS=1,"",I_S&amp;INDEX(T_L2[],HELP!H268,1)
&amp;IF(N_LISTS=2,"",I_S&amp;INDEX(T_L3[],HELP!I268,1)
&amp;IF(N_LISTS=3,"",I_S&amp;INDEX(T_L4[],HELP!J268,1)
&amp;IF(N_LISTS=4,"",I_S&amp;INDEX(T_L5[],HELP!K268,1)
&amp;IF(N_LISTS=5,"",I_S&amp;INDEX(T_L6[],HELP!L268,1))))))),"")</f>
        <v/>
      </c>
      <c r="Z272" t="str">
        <f ca="1">IFERROR(INDEX(T_L1[LIST 1],HELP!G268),"")</f>
        <v/>
      </c>
      <c r="AA272" t="str">
        <f ca="1">IF(Z272="","",INDEX(T_L2[LIST 2],HELP!H268))</f>
        <v/>
      </c>
      <c r="AB272" t="str">
        <f t="shared" ca="1" si="5"/>
        <v xml:space="preserve"> - </v>
      </c>
    </row>
    <row r="273" spans="16:28" x14ac:dyDescent="0.2">
      <c r="P273" s="7" t="str">
        <f ca="1">IFERROR(IF(HELP!$F269&gt;N,"",INDEX(T_L1[],HELP!G269,1)
&amp;IF(N_LISTS=1,"",I_S&amp;INDEX(T_L2[],HELP!H269,1)
&amp;IF(N_LISTS=2,"",I_S&amp;INDEX(T_L3[],HELP!I269,1)
&amp;IF(N_LISTS=3,"",I_S&amp;INDEX(T_L4[],HELP!J269,1)
&amp;IF(N_LISTS=4,"",I_S&amp;INDEX(T_L5[],HELP!K269,1)
&amp;IF(N_LISTS=5,"",I_S&amp;INDEX(T_L6[],HELP!L269,1))))))),"")</f>
        <v/>
      </c>
      <c r="Z273" t="str">
        <f ca="1">IFERROR(INDEX(T_L1[LIST 1],HELP!G269),"")</f>
        <v/>
      </c>
      <c r="AA273" t="str">
        <f ca="1">IF(Z273="","",INDEX(T_L2[LIST 2],HELP!H269))</f>
        <v/>
      </c>
      <c r="AB273" t="str">
        <f t="shared" ca="1" si="5"/>
        <v xml:space="preserve"> - </v>
      </c>
    </row>
    <row r="274" spans="16:28" x14ac:dyDescent="0.2">
      <c r="P274" s="7" t="str">
        <f ca="1">IFERROR(IF(HELP!$F270&gt;N,"",INDEX(T_L1[],HELP!G270,1)
&amp;IF(N_LISTS=1,"",I_S&amp;INDEX(T_L2[],HELP!H270,1)
&amp;IF(N_LISTS=2,"",I_S&amp;INDEX(T_L3[],HELP!I270,1)
&amp;IF(N_LISTS=3,"",I_S&amp;INDEX(T_L4[],HELP!J270,1)
&amp;IF(N_LISTS=4,"",I_S&amp;INDEX(T_L5[],HELP!K270,1)
&amp;IF(N_LISTS=5,"",I_S&amp;INDEX(T_L6[],HELP!L270,1))))))),"")</f>
        <v/>
      </c>
      <c r="Z274" t="str">
        <f ca="1">IFERROR(INDEX(T_L1[LIST 1],HELP!G270),"")</f>
        <v/>
      </c>
      <c r="AA274" t="str">
        <f ca="1">IF(Z274="","",INDEX(T_L2[LIST 2],HELP!H270))</f>
        <v/>
      </c>
      <c r="AB274" t="str">
        <f t="shared" ca="1" si="5"/>
        <v xml:space="preserve"> - </v>
      </c>
    </row>
    <row r="275" spans="16:28" x14ac:dyDescent="0.2">
      <c r="P275" s="7" t="str">
        <f ca="1">IFERROR(IF(HELP!$F271&gt;N,"",INDEX(T_L1[],HELP!G271,1)
&amp;IF(N_LISTS=1,"",I_S&amp;INDEX(T_L2[],HELP!H271,1)
&amp;IF(N_LISTS=2,"",I_S&amp;INDEX(T_L3[],HELP!I271,1)
&amp;IF(N_LISTS=3,"",I_S&amp;INDEX(T_L4[],HELP!J271,1)
&amp;IF(N_LISTS=4,"",I_S&amp;INDEX(T_L5[],HELP!K271,1)
&amp;IF(N_LISTS=5,"",I_S&amp;INDEX(T_L6[],HELP!L271,1))))))),"")</f>
        <v/>
      </c>
      <c r="Z275" t="str">
        <f ca="1">IFERROR(INDEX(T_L1[LIST 1],HELP!G271),"")</f>
        <v/>
      </c>
      <c r="AA275" t="str">
        <f ca="1">IF(Z275="","",INDEX(T_L2[LIST 2],HELP!H271))</f>
        <v/>
      </c>
      <c r="AB275" t="str">
        <f t="shared" ca="1" si="5"/>
        <v xml:space="preserve"> - </v>
      </c>
    </row>
    <row r="276" spans="16:28" x14ac:dyDescent="0.2">
      <c r="P276" s="7" t="str">
        <f ca="1">IFERROR(IF(HELP!$F272&gt;N,"",INDEX(T_L1[],HELP!G272,1)
&amp;IF(N_LISTS=1,"",I_S&amp;INDEX(T_L2[],HELP!H272,1)
&amp;IF(N_LISTS=2,"",I_S&amp;INDEX(T_L3[],HELP!I272,1)
&amp;IF(N_LISTS=3,"",I_S&amp;INDEX(T_L4[],HELP!J272,1)
&amp;IF(N_LISTS=4,"",I_S&amp;INDEX(T_L5[],HELP!K272,1)
&amp;IF(N_LISTS=5,"",I_S&amp;INDEX(T_L6[],HELP!L272,1))))))),"")</f>
        <v/>
      </c>
      <c r="Z276" t="str">
        <f ca="1">IFERROR(INDEX(T_L1[LIST 1],HELP!G272),"")</f>
        <v/>
      </c>
      <c r="AA276" t="str">
        <f ca="1">IF(Z276="","",INDEX(T_L2[LIST 2],HELP!H272))</f>
        <v/>
      </c>
      <c r="AB276" t="str">
        <f t="shared" ca="1" si="5"/>
        <v xml:space="preserve"> - </v>
      </c>
    </row>
    <row r="277" spans="16:28" x14ac:dyDescent="0.2">
      <c r="P277" s="7" t="str">
        <f ca="1">IFERROR(IF(HELP!$F273&gt;N,"",INDEX(T_L1[],HELP!G273,1)
&amp;IF(N_LISTS=1,"",I_S&amp;INDEX(T_L2[],HELP!H273,1)
&amp;IF(N_LISTS=2,"",I_S&amp;INDEX(T_L3[],HELP!I273,1)
&amp;IF(N_LISTS=3,"",I_S&amp;INDEX(T_L4[],HELP!J273,1)
&amp;IF(N_LISTS=4,"",I_S&amp;INDEX(T_L5[],HELP!K273,1)
&amp;IF(N_LISTS=5,"",I_S&amp;INDEX(T_L6[],HELP!L273,1))))))),"")</f>
        <v/>
      </c>
      <c r="Z277" t="str">
        <f ca="1">IFERROR(INDEX(T_L1[LIST 1],HELP!G273),"")</f>
        <v/>
      </c>
      <c r="AA277" t="str">
        <f ca="1">IF(Z277="","",INDEX(T_L2[LIST 2],HELP!H273))</f>
        <v/>
      </c>
      <c r="AB277" t="str">
        <f t="shared" ca="1" si="5"/>
        <v xml:space="preserve"> - </v>
      </c>
    </row>
    <row r="278" spans="16:28" x14ac:dyDescent="0.2">
      <c r="P278" s="7" t="str">
        <f ca="1">IFERROR(IF(HELP!$F274&gt;N,"",INDEX(T_L1[],HELP!G274,1)
&amp;IF(N_LISTS=1,"",I_S&amp;INDEX(T_L2[],HELP!H274,1)
&amp;IF(N_LISTS=2,"",I_S&amp;INDEX(T_L3[],HELP!I274,1)
&amp;IF(N_LISTS=3,"",I_S&amp;INDEX(T_L4[],HELP!J274,1)
&amp;IF(N_LISTS=4,"",I_S&amp;INDEX(T_L5[],HELP!K274,1)
&amp;IF(N_LISTS=5,"",I_S&amp;INDEX(T_L6[],HELP!L274,1))))))),"")</f>
        <v/>
      </c>
      <c r="Z278" t="str">
        <f ca="1">IFERROR(INDEX(T_L1[LIST 1],HELP!G274),"")</f>
        <v/>
      </c>
      <c r="AA278" t="str">
        <f ca="1">IF(Z278="","",INDEX(T_L2[LIST 2],HELP!H274))</f>
        <v/>
      </c>
      <c r="AB278" t="str">
        <f t="shared" ca="1" si="5"/>
        <v xml:space="preserve"> - </v>
      </c>
    </row>
    <row r="279" spans="16:28" x14ac:dyDescent="0.2">
      <c r="P279" s="7" t="str">
        <f ca="1">IFERROR(IF(HELP!$F275&gt;N,"",INDEX(T_L1[],HELP!G275,1)
&amp;IF(N_LISTS=1,"",I_S&amp;INDEX(T_L2[],HELP!H275,1)
&amp;IF(N_LISTS=2,"",I_S&amp;INDEX(T_L3[],HELP!I275,1)
&amp;IF(N_LISTS=3,"",I_S&amp;INDEX(T_L4[],HELP!J275,1)
&amp;IF(N_LISTS=4,"",I_S&amp;INDEX(T_L5[],HELP!K275,1)
&amp;IF(N_LISTS=5,"",I_S&amp;INDEX(T_L6[],HELP!L275,1))))))),"")</f>
        <v/>
      </c>
      <c r="Z279" t="str">
        <f ca="1">IFERROR(INDEX(T_L1[LIST 1],HELP!G275),"")</f>
        <v/>
      </c>
      <c r="AA279" t="str">
        <f ca="1">IF(Z279="","",INDEX(T_L2[LIST 2],HELP!H275))</f>
        <v/>
      </c>
      <c r="AB279" t="str">
        <f t="shared" ca="1" si="5"/>
        <v xml:space="preserve"> - </v>
      </c>
    </row>
    <row r="280" spans="16:28" x14ac:dyDescent="0.2">
      <c r="P280" s="7" t="str">
        <f ca="1">IFERROR(IF(HELP!$F276&gt;N,"",INDEX(T_L1[],HELP!G276,1)
&amp;IF(N_LISTS=1,"",I_S&amp;INDEX(T_L2[],HELP!H276,1)
&amp;IF(N_LISTS=2,"",I_S&amp;INDEX(T_L3[],HELP!I276,1)
&amp;IF(N_LISTS=3,"",I_S&amp;INDEX(T_L4[],HELP!J276,1)
&amp;IF(N_LISTS=4,"",I_S&amp;INDEX(T_L5[],HELP!K276,1)
&amp;IF(N_LISTS=5,"",I_S&amp;INDEX(T_L6[],HELP!L276,1))))))),"")</f>
        <v/>
      </c>
      <c r="Z280" t="str">
        <f ca="1">IFERROR(INDEX(T_L1[LIST 1],HELP!G276),"")</f>
        <v/>
      </c>
      <c r="AA280" t="str">
        <f ca="1">IF(Z280="","",INDEX(T_L2[LIST 2],HELP!H276))</f>
        <v/>
      </c>
      <c r="AB280" t="str">
        <f t="shared" ca="1" si="5"/>
        <v xml:space="preserve"> - </v>
      </c>
    </row>
    <row r="281" spans="16:28" x14ac:dyDescent="0.2">
      <c r="P281" s="7" t="str">
        <f ca="1">IFERROR(IF(HELP!$F277&gt;N,"",INDEX(T_L1[],HELP!G277,1)
&amp;IF(N_LISTS=1,"",I_S&amp;INDEX(T_L2[],HELP!H277,1)
&amp;IF(N_LISTS=2,"",I_S&amp;INDEX(T_L3[],HELP!I277,1)
&amp;IF(N_LISTS=3,"",I_S&amp;INDEX(T_L4[],HELP!J277,1)
&amp;IF(N_LISTS=4,"",I_S&amp;INDEX(T_L5[],HELP!K277,1)
&amp;IF(N_LISTS=5,"",I_S&amp;INDEX(T_L6[],HELP!L277,1))))))),"")</f>
        <v/>
      </c>
      <c r="Z281" t="str">
        <f ca="1">IFERROR(INDEX(T_L1[LIST 1],HELP!G277),"")</f>
        <v/>
      </c>
      <c r="AA281" t="str">
        <f ca="1">IF(Z281="","",INDEX(T_L2[LIST 2],HELP!H277))</f>
        <v/>
      </c>
      <c r="AB281" t="str">
        <f t="shared" ca="1" si="5"/>
        <v xml:space="preserve"> - </v>
      </c>
    </row>
    <row r="282" spans="16:28" x14ac:dyDescent="0.2">
      <c r="P282" s="7" t="str">
        <f ca="1">IFERROR(IF(HELP!$F278&gt;N,"",INDEX(T_L1[],HELP!G278,1)
&amp;IF(N_LISTS=1,"",I_S&amp;INDEX(T_L2[],HELP!H278,1)
&amp;IF(N_LISTS=2,"",I_S&amp;INDEX(T_L3[],HELP!I278,1)
&amp;IF(N_LISTS=3,"",I_S&amp;INDEX(T_L4[],HELP!J278,1)
&amp;IF(N_LISTS=4,"",I_S&amp;INDEX(T_L5[],HELP!K278,1)
&amp;IF(N_LISTS=5,"",I_S&amp;INDEX(T_L6[],HELP!L278,1))))))),"")</f>
        <v/>
      </c>
      <c r="Z282" t="str">
        <f ca="1">IFERROR(INDEX(T_L1[LIST 1],HELP!G278),"")</f>
        <v/>
      </c>
      <c r="AA282" t="str">
        <f ca="1">IF(Z282="","",INDEX(T_L2[LIST 2],HELP!H278))</f>
        <v/>
      </c>
      <c r="AB282" t="str">
        <f t="shared" ca="1" si="5"/>
        <v xml:space="preserve"> - </v>
      </c>
    </row>
    <row r="283" spans="16:28" x14ac:dyDescent="0.2">
      <c r="P283" s="7" t="str">
        <f ca="1">IFERROR(IF(HELP!$F279&gt;N,"",INDEX(T_L1[],HELP!G279,1)
&amp;IF(N_LISTS=1,"",I_S&amp;INDEX(T_L2[],HELP!H279,1)
&amp;IF(N_LISTS=2,"",I_S&amp;INDEX(T_L3[],HELP!I279,1)
&amp;IF(N_LISTS=3,"",I_S&amp;INDEX(T_L4[],HELP!J279,1)
&amp;IF(N_LISTS=4,"",I_S&amp;INDEX(T_L5[],HELP!K279,1)
&amp;IF(N_LISTS=5,"",I_S&amp;INDEX(T_L6[],HELP!L279,1))))))),"")</f>
        <v/>
      </c>
      <c r="Z283" t="str">
        <f ca="1">IFERROR(INDEX(T_L1[LIST 1],HELP!G279),"")</f>
        <v/>
      </c>
      <c r="AA283" t="str">
        <f ca="1">IF(Z283="","",INDEX(T_L2[LIST 2],HELP!H279))</f>
        <v/>
      </c>
      <c r="AB283" t="str">
        <f t="shared" ca="1" si="5"/>
        <v xml:space="preserve"> - </v>
      </c>
    </row>
    <row r="284" spans="16:28" x14ac:dyDescent="0.2">
      <c r="P284" s="7" t="str">
        <f ca="1">IFERROR(IF(HELP!$F280&gt;N,"",INDEX(T_L1[],HELP!G280,1)
&amp;IF(N_LISTS=1,"",I_S&amp;INDEX(T_L2[],HELP!H280,1)
&amp;IF(N_LISTS=2,"",I_S&amp;INDEX(T_L3[],HELP!I280,1)
&amp;IF(N_LISTS=3,"",I_S&amp;INDEX(T_L4[],HELP!J280,1)
&amp;IF(N_LISTS=4,"",I_S&amp;INDEX(T_L5[],HELP!K280,1)
&amp;IF(N_LISTS=5,"",I_S&amp;INDEX(T_L6[],HELP!L280,1))))))),"")</f>
        <v/>
      </c>
      <c r="Z284" t="str">
        <f ca="1">IFERROR(INDEX(T_L1[LIST 1],HELP!G280),"")</f>
        <v/>
      </c>
      <c r="AA284" t="str">
        <f ca="1">IF(Z284="","",INDEX(T_L2[LIST 2],HELP!H280))</f>
        <v/>
      </c>
      <c r="AB284" t="str">
        <f t="shared" ca="1" si="5"/>
        <v xml:space="preserve"> - </v>
      </c>
    </row>
    <row r="285" spans="16:28" x14ac:dyDescent="0.2">
      <c r="P285" s="7" t="str">
        <f ca="1">IFERROR(IF(HELP!$F281&gt;N,"",INDEX(T_L1[],HELP!G281,1)
&amp;IF(N_LISTS=1,"",I_S&amp;INDEX(T_L2[],HELP!H281,1)
&amp;IF(N_LISTS=2,"",I_S&amp;INDEX(T_L3[],HELP!I281,1)
&amp;IF(N_LISTS=3,"",I_S&amp;INDEX(T_L4[],HELP!J281,1)
&amp;IF(N_LISTS=4,"",I_S&amp;INDEX(T_L5[],HELP!K281,1)
&amp;IF(N_LISTS=5,"",I_S&amp;INDEX(T_L6[],HELP!L281,1))))))),"")</f>
        <v/>
      </c>
      <c r="Z285" t="str">
        <f ca="1">IFERROR(INDEX(T_L1[LIST 1],HELP!G281),"")</f>
        <v/>
      </c>
      <c r="AA285" t="str">
        <f ca="1">IF(Z285="","",INDEX(T_L2[LIST 2],HELP!H281))</f>
        <v/>
      </c>
      <c r="AB285" t="str">
        <f t="shared" ca="1" si="5"/>
        <v xml:space="preserve"> - </v>
      </c>
    </row>
    <row r="286" spans="16:28" x14ac:dyDescent="0.2">
      <c r="P286" s="7" t="str">
        <f ca="1">IFERROR(IF(HELP!$F282&gt;N,"",INDEX(T_L1[],HELP!G282,1)
&amp;IF(N_LISTS=1,"",I_S&amp;INDEX(T_L2[],HELP!H282,1)
&amp;IF(N_LISTS=2,"",I_S&amp;INDEX(T_L3[],HELP!I282,1)
&amp;IF(N_LISTS=3,"",I_S&amp;INDEX(T_L4[],HELP!J282,1)
&amp;IF(N_LISTS=4,"",I_S&amp;INDEX(T_L5[],HELP!K282,1)
&amp;IF(N_LISTS=5,"",I_S&amp;INDEX(T_L6[],HELP!L282,1))))))),"")</f>
        <v/>
      </c>
      <c r="Z286" t="str">
        <f ca="1">IFERROR(INDEX(T_L1[LIST 1],HELP!G282),"")</f>
        <v/>
      </c>
      <c r="AA286" t="str">
        <f ca="1">IF(Z286="","",INDEX(T_L2[LIST 2],HELP!H282))</f>
        <v/>
      </c>
      <c r="AB286" t="str">
        <f t="shared" ca="1" si="5"/>
        <v xml:space="preserve"> - </v>
      </c>
    </row>
    <row r="287" spans="16:28" x14ac:dyDescent="0.2">
      <c r="P287" s="7" t="str">
        <f ca="1">IFERROR(IF(HELP!$F283&gt;N,"",INDEX(T_L1[],HELP!G283,1)
&amp;IF(N_LISTS=1,"",I_S&amp;INDEX(T_L2[],HELP!H283,1)
&amp;IF(N_LISTS=2,"",I_S&amp;INDEX(T_L3[],HELP!I283,1)
&amp;IF(N_LISTS=3,"",I_S&amp;INDEX(T_L4[],HELP!J283,1)
&amp;IF(N_LISTS=4,"",I_S&amp;INDEX(T_L5[],HELP!K283,1)
&amp;IF(N_LISTS=5,"",I_S&amp;INDEX(T_L6[],HELP!L283,1))))))),"")</f>
        <v/>
      </c>
    </row>
    <row r="288" spans="16:28" x14ac:dyDescent="0.2">
      <c r="P288" s="7" t="str">
        <f ca="1">IFERROR(IF(HELP!$F284&gt;N,"",INDEX(T_L1[],HELP!G284,1)
&amp;IF(N_LISTS=1,"",I_S&amp;INDEX(T_L2[],HELP!H284,1)
&amp;IF(N_LISTS=2,"",I_S&amp;INDEX(T_L3[],HELP!I284,1)
&amp;IF(N_LISTS=3,"",I_S&amp;INDEX(T_L4[],HELP!J284,1)
&amp;IF(N_LISTS=4,"",I_S&amp;INDEX(T_L5[],HELP!K284,1)
&amp;IF(N_LISTS=5,"",I_S&amp;INDEX(T_L6[],HELP!L284,1))))))),"")</f>
        <v/>
      </c>
    </row>
    <row r="289" spans="16:16" x14ac:dyDescent="0.2">
      <c r="P289" s="7" t="str">
        <f ca="1">IFERROR(IF(HELP!$F285&gt;N,"",INDEX(T_L1[],HELP!G285,1)
&amp;IF(N_LISTS=1,"",I_S&amp;INDEX(T_L2[],HELP!H285,1)
&amp;IF(N_LISTS=2,"",I_S&amp;INDEX(T_L3[],HELP!I285,1)
&amp;IF(N_LISTS=3,"",I_S&amp;INDEX(T_L4[],HELP!J285,1)
&amp;IF(N_LISTS=4,"",I_S&amp;INDEX(T_L5[],HELP!K285,1)
&amp;IF(N_LISTS=5,"",I_S&amp;INDEX(T_L6[],HELP!L285,1))))))),"")</f>
        <v/>
      </c>
    </row>
    <row r="290" spans="16:16" x14ac:dyDescent="0.2">
      <c r="P290" s="7" t="str">
        <f ca="1">IFERROR(IF(HELP!$F286&gt;N,"",INDEX(T_L1[],HELP!G286,1)
&amp;IF(N_LISTS=1,"",I_S&amp;INDEX(T_L2[],HELP!H286,1)
&amp;IF(N_LISTS=2,"",I_S&amp;INDEX(T_L3[],HELP!I286,1)
&amp;IF(N_LISTS=3,"",I_S&amp;INDEX(T_L4[],HELP!J286,1)
&amp;IF(N_LISTS=4,"",I_S&amp;INDEX(T_L5[],HELP!K286,1)
&amp;IF(N_LISTS=5,"",I_S&amp;INDEX(T_L6[],HELP!L286,1))))))),"")</f>
        <v/>
      </c>
    </row>
    <row r="291" spans="16:16" x14ac:dyDescent="0.2">
      <c r="P291" s="7" t="str">
        <f ca="1">IFERROR(IF(HELP!$F287&gt;N,"",INDEX(T_L1[],HELP!G287,1)
&amp;IF(N_LISTS=1,"",I_S&amp;INDEX(T_L2[],HELP!H287,1)
&amp;IF(N_LISTS=2,"",I_S&amp;INDEX(T_L3[],HELP!I287,1)
&amp;IF(N_LISTS=3,"",I_S&amp;INDEX(T_L4[],HELP!J287,1)
&amp;IF(N_LISTS=4,"",I_S&amp;INDEX(T_L5[],HELP!K287,1)
&amp;IF(N_LISTS=5,"",I_S&amp;INDEX(T_L6[],HELP!L287,1))))))),"")</f>
        <v/>
      </c>
    </row>
    <row r="292" spans="16:16" x14ac:dyDescent="0.2">
      <c r="P292" s="7" t="str">
        <f ca="1">IFERROR(IF(HELP!$F288&gt;N,"",INDEX(T_L1[],HELP!G288,1)
&amp;IF(N_LISTS=1,"",I_S&amp;INDEX(T_L2[],HELP!H288,1)
&amp;IF(N_LISTS=2,"",I_S&amp;INDEX(T_L3[],HELP!I288,1)
&amp;IF(N_LISTS=3,"",I_S&amp;INDEX(T_L4[],HELP!J288,1)
&amp;IF(N_LISTS=4,"",I_S&amp;INDEX(T_L5[],HELP!K288,1)
&amp;IF(N_LISTS=5,"",I_S&amp;INDEX(T_L6[],HELP!L288,1))))))),"")</f>
        <v/>
      </c>
    </row>
    <row r="293" spans="16:16" x14ac:dyDescent="0.2">
      <c r="P293" s="7" t="str">
        <f ca="1">IFERROR(IF(HELP!$F289&gt;N,"",INDEX(T_L1[],HELP!G289,1)
&amp;IF(N_LISTS=1,"",I_S&amp;INDEX(T_L2[],HELP!H289,1)
&amp;IF(N_LISTS=2,"",I_S&amp;INDEX(T_L3[],HELP!I289,1)
&amp;IF(N_LISTS=3,"",I_S&amp;INDEX(T_L4[],HELP!J289,1)
&amp;IF(N_LISTS=4,"",I_S&amp;INDEX(T_L5[],HELP!K289,1)
&amp;IF(N_LISTS=5,"",I_S&amp;INDEX(T_L6[],HELP!L289,1))))))),"")</f>
        <v/>
      </c>
    </row>
    <row r="294" spans="16:16" x14ac:dyDescent="0.2">
      <c r="P294" s="7" t="str">
        <f ca="1">IFERROR(IF(HELP!$F290&gt;N,"",INDEX(T_L1[],HELP!G290,1)
&amp;IF(N_LISTS=1,"",I_S&amp;INDEX(T_L2[],HELP!H290,1)
&amp;IF(N_LISTS=2,"",I_S&amp;INDEX(T_L3[],HELP!I290,1)
&amp;IF(N_LISTS=3,"",I_S&amp;INDEX(T_L4[],HELP!J290,1)
&amp;IF(N_LISTS=4,"",I_S&amp;INDEX(T_L5[],HELP!K290,1)
&amp;IF(N_LISTS=5,"",I_S&amp;INDEX(T_L6[],HELP!L290,1))))))),"")</f>
        <v/>
      </c>
    </row>
    <row r="295" spans="16:16" x14ac:dyDescent="0.2">
      <c r="P295" s="7" t="str">
        <f ca="1">IFERROR(IF(HELP!$F291&gt;N,"",INDEX(T_L1[],HELP!G291,1)
&amp;IF(N_LISTS=1,"",I_S&amp;INDEX(T_L2[],HELP!H291,1)
&amp;IF(N_LISTS=2,"",I_S&amp;INDEX(T_L3[],HELP!I291,1)
&amp;IF(N_LISTS=3,"",I_S&amp;INDEX(T_L4[],HELP!J291,1)
&amp;IF(N_LISTS=4,"",I_S&amp;INDEX(T_L5[],HELP!K291,1)
&amp;IF(N_LISTS=5,"",I_S&amp;INDEX(T_L6[],HELP!L291,1))))))),"")</f>
        <v/>
      </c>
    </row>
    <row r="296" spans="16:16" x14ac:dyDescent="0.2">
      <c r="P296" s="7" t="str">
        <f ca="1">IFERROR(IF(HELP!$F292&gt;N,"",INDEX(T_L1[],HELP!G292,1)
&amp;IF(N_LISTS=1,"",I_S&amp;INDEX(T_L2[],HELP!H292,1)
&amp;IF(N_LISTS=2,"",I_S&amp;INDEX(T_L3[],HELP!I292,1)
&amp;IF(N_LISTS=3,"",I_S&amp;INDEX(T_L4[],HELP!J292,1)
&amp;IF(N_LISTS=4,"",I_S&amp;INDEX(T_L5[],HELP!K292,1)
&amp;IF(N_LISTS=5,"",I_S&amp;INDEX(T_L6[],HELP!L292,1))))))),"")</f>
        <v/>
      </c>
    </row>
    <row r="297" spans="16:16" x14ac:dyDescent="0.2">
      <c r="P297" s="7" t="str">
        <f ca="1">IFERROR(IF(HELP!$F293&gt;N,"",INDEX(T_L1[],HELP!G293,1)
&amp;IF(N_LISTS=1,"",I_S&amp;INDEX(T_L2[],HELP!H293,1)
&amp;IF(N_LISTS=2,"",I_S&amp;INDEX(T_L3[],HELP!I293,1)
&amp;IF(N_LISTS=3,"",I_S&amp;INDEX(T_L4[],HELP!J293,1)
&amp;IF(N_LISTS=4,"",I_S&amp;INDEX(T_L5[],HELP!K293,1)
&amp;IF(N_LISTS=5,"",I_S&amp;INDEX(T_L6[],HELP!L293,1))))))),"")</f>
        <v/>
      </c>
    </row>
    <row r="298" spans="16:16" x14ac:dyDescent="0.2">
      <c r="P298" s="7" t="str">
        <f ca="1">IFERROR(IF(HELP!$F294&gt;N,"",INDEX(T_L1[],HELP!G294,1)
&amp;IF(N_LISTS=1,"",I_S&amp;INDEX(T_L2[],HELP!H294,1)
&amp;IF(N_LISTS=2,"",I_S&amp;INDEX(T_L3[],HELP!I294,1)
&amp;IF(N_LISTS=3,"",I_S&amp;INDEX(T_L4[],HELP!J294,1)
&amp;IF(N_LISTS=4,"",I_S&amp;INDEX(T_L5[],HELP!K294,1)
&amp;IF(N_LISTS=5,"",I_S&amp;INDEX(T_L6[],HELP!L294,1))))))),"")</f>
        <v/>
      </c>
    </row>
    <row r="299" spans="16:16" x14ac:dyDescent="0.2">
      <c r="P299" s="7" t="str">
        <f ca="1">IFERROR(IF(HELP!$F295&gt;N,"",INDEX(T_L1[],HELP!G295,1)
&amp;IF(N_LISTS=1,"",I_S&amp;INDEX(T_L2[],HELP!H295,1)
&amp;IF(N_LISTS=2,"",I_S&amp;INDEX(T_L3[],HELP!I295,1)
&amp;IF(N_LISTS=3,"",I_S&amp;INDEX(T_L4[],HELP!J295,1)
&amp;IF(N_LISTS=4,"",I_S&amp;INDEX(T_L5[],HELP!K295,1)
&amp;IF(N_LISTS=5,"",I_S&amp;INDEX(T_L6[],HELP!L295,1))))))),"")</f>
        <v/>
      </c>
    </row>
    <row r="300" spans="16:16" x14ac:dyDescent="0.2">
      <c r="P300" s="7" t="str">
        <f ca="1">IFERROR(IF(HELP!$F296&gt;N,"",INDEX(T_L1[],HELP!G296,1)
&amp;IF(N_LISTS=1,"",I_S&amp;INDEX(T_L2[],HELP!H296,1)
&amp;IF(N_LISTS=2,"",I_S&amp;INDEX(T_L3[],HELP!I296,1)
&amp;IF(N_LISTS=3,"",I_S&amp;INDEX(T_L4[],HELP!J296,1)
&amp;IF(N_LISTS=4,"",I_S&amp;INDEX(T_L5[],HELP!K296,1)
&amp;IF(N_LISTS=5,"",I_S&amp;INDEX(T_L6[],HELP!L296,1))))))),"")</f>
        <v/>
      </c>
    </row>
    <row r="301" spans="16:16" x14ac:dyDescent="0.2">
      <c r="P301" s="7" t="str">
        <f ca="1">IFERROR(IF(HELP!$F297&gt;N,"",INDEX(T_L1[],HELP!G297,1)
&amp;IF(N_LISTS=1,"",I_S&amp;INDEX(T_L2[],HELP!H297,1)
&amp;IF(N_LISTS=2,"",I_S&amp;INDEX(T_L3[],HELP!I297,1)
&amp;IF(N_LISTS=3,"",I_S&amp;INDEX(T_L4[],HELP!J297,1)
&amp;IF(N_LISTS=4,"",I_S&amp;INDEX(T_L5[],HELP!K297,1)
&amp;IF(N_LISTS=5,"",I_S&amp;INDEX(T_L6[],HELP!L297,1))))))),"")</f>
        <v/>
      </c>
    </row>
    <row r="302" spans="16:16" x14ac:dyDescent="0.2">
      <c r="P302" s="7" t="str">
        <f ca="1">IFERROR(IF(HELP!$F298&gt;N,"",INDEX(T_L1[],HELP!G298,1)
&amp;IF(N_LISTS=1,"",I_S&amp;INDEX(T_L2[],HELP!H298,1)
&amp;IF(N_LISTS=2,"",I_S&amp;INDEX(T_L3[],HELP!I298,1)
&amp;IF(N_LISTS=3,"",I_S&amp;INDEX(T_L4[],HELP!J298,1)
&amp;IF(N_LISTS=4,"",I_S&amp;INDEX(T_L5[],HELP!K298,1)
&amp;IF(N_LISTS=5,"",I_S&amp;INDEX(T_L6[],HELP!L298,1))))))),"")</f>
        <v/>
      </c>
    </row>
    <row r="303" spans="16:16" x14ac:dyDescent="0.2">
      <c r="P303" s="7" t="str">
        <f ca="1">IFERROR(IF(HELP!$F299&gt;N,"",INDEX(T_L1[],HELP!G299,1)
&amp;IF(N_LISTS=1,"",I_S&amp;INDEX(T_L2[],HELP!H299,1)
&amp;IF(N_LISTS=2,"",I_S&amp;INDEX(T_L3[],HELP!I299,1)
&amp;IF(N_LISTS=3,"",I_S&amp;INDEX(T_L4[],HELP!J299,1)
&amp;IF(N_LISTS=4,"",I_S&amp;INDEX(T_L5[],HELP!K299,1)
&amp;IF(N_LISTS=5,"",I_S&amp;INDEX(T_L6[],HELP!L299,1))))))),"")</f>
        <v/>
      </c>
    </row>
    <row r="304" spans="16:16" x14ac:dyDescent="0.2">
      <c r="P304" s="7" t="str">
        <f ca="1">IFERROR(IF(HELP!$F300&gt;N,"",INDEX(T_L1[],HELP!G300,1)
&amp;IF(N_LISTS=1,"",I_S&amp;INDEX(T_L2[],HELP!H300,1)
&amp;IF(N_LISTS=2,"",I_S&amp;INDEX(T_L3[],HELP!I300,1)
&amp;IF(N_LISTS=3,"",I_S&amp;INDEX(T_L4[],HELP!J300,1)
&amp;IF(N_LISTS=4,"",I_S&amp;INDEX(T_L5[],HELP!K300,1)
&amp;IF(N_LISTS=5,"",I_S&amp;INDEX(T_L6[],HELP!L300,1))))))),"")</f>
        <v/>
      </c>
    </row>
    <row r="305" spans="16:16" x14ac:dyDescent="0.2">
      <c r="P305" s="7" t="str">
        <f ca="1">IFERROR(IF(HELP!$F301&gt;N,"",INDEX(T_L1[],HELP!G301,1)
&amp;IF(N_LISTS=1,"",I_S&amp;INDEX(T_L2[],HELP!H301,1)
&amp;IF(N_LISTS=2,"",I_S&amp;INDEX(T_L3[],HELP!I301,1)
&amp;IF(N_LISTS=3,"",I_S&amp;INDEX(T_L4[],HELP!J301,1)
&amp;IF(N_LISTS=4,"",I_S&amp;INDEX(T_L5[],HELP!K301,1)
&amp;IF(N_LISTS=5,"",I_S&amp;INDEX(T_L6[],HELP!L301,1))))))),"")</f>
        <v/>
      </c>
    </row>
    <row r="306" spans="16:16" x14ac:dyDescent="0.2">
      <c r="P306" s="7" t="str">
        <f ca="1">IFERROR(IF(HELP!$F302&gt;N,"",INDEX(T_L1[],HELP!G302,1)
&amp;IF(N_LISTS=1,"",I_S&amp;INDEX(T_L2[],HELP!H302,1)
&amp;IF(N_LISTS=2,"",I_S&amp;INDEX(T_L3[],HELP!I302,1)
&amp;IF(N_LISTS=3,"",I_S&amp;INDEX(T_L4[],HELP!J302,1)
&amp;IF(N_LISTS=4,"",I_S&amp;INDEX(T_L5[],HELP!K302,1)
&amp;IF(N_LISTS=5,"",I_S&amp;INDEX(T_L6[],HELP!L302,1))))))),"")</f>
        <v/>
      </c>
    </row>
    <row r="307" spans="16:16" x14ac:dyDescent="0.2">
      <c r="P307" s="7" t="str">
        <f ca="1">IFERROR(IF(HELP!$F303&gt;N,"",INDEX(T_L1[],HELP!G303,1)
&amp;IF(N_LISTS=1,"",I_S&amp;INDEX(T_L2[],HELP!H303,1)
&amp;IF(N_LISTS=2,"",I_S&amp;INDEX(T_L3[],HELP!I303,1)
&amp;IF(N_LISTS=3,"",I_S&amp;INDEX(T_L4[],HELP!J303,1)
&amp;IF(N_LISTS=4,"",I_S&amp;INDEX(T_L5[],HELP!K303,1)
&amp;IF(N_LISTS=5,"",I_S&amp;INDEX(T_L6[],HELP!L303,1))))))),"")</f>
        <v/>
      </c>
    </row>
    <row r="308" spans="16:16" x14ac:dyDescent="0.2">
      <c r="P308" s="7" t="str">
        <f ca="1">IFERROR(IF(HELP!$F304&gt;N,"",INDEX(T_L1[],HELP!G304,1)
&amp;IF(N_LISTS=1,"",I_S&amp;INDEX(T_L2[],HELP!H304,1)
&amp;IF(N_LISTS=2,"",I_S&amp;INDEX(T_L3[],HELP!I304,1)
&amp;IF(N_LISTS=3,"",I_S&amp;INDEX(T_L4[],HELP!J304,1)
&amp;IF(N_LISTS=4,"",I_S&amp;INDEX(T_L5[],HELP!K304,1)
&amp;IF(N_LISTS=5,"",I_S&amp;INDEX(T_L6[],HELP!L304,1))))))),"")</f>
        <v/>
      </c>
    </row>
    <row r="309" spans="16:16" x14ac:dyDescent="0.2">
      <c r="P309" s="7" t="str">
        <f ca="1">IFERROR(IF(HELP!$F305&gt;N,"",INDEX(T_L1[],HELP!G305,1)
&amp;IF(N_LISTS=1,"",I_S&amp;INDEX(T_L2[],HELP!H305,1)
&amp;IF(N_LISTS=2,"",I_S&amp;INDEX(T_L3[],HELP!I305,1)
&amp;IF(N_LISTS=3,"",I_S&amp;INDEX(T_L4[],HELP!J305,1)
&amp;IF(N_LISTS=4,"",I_S&amp;INDEX(T_L5[],HELP!K305,1)
&amp;IF(N_LISTS=5,"",I_S&amp;INDEX(T_L6[],HELP!L305,1))))))),"")</f>
        <v/>
      </c>
    </row>
    <row r="310" spans="16:16" x14ac:dyDescent="0.2">
      <c r="P310" s="7" t="str">
        <f ca="1">IFERROR(IF(HELP!$F306&gt;N,"",INDEX(T_L1[],HELP!G306,1)
&amp;IF(N_LISTS=1,"",I_S&amp;INDEX(T_L2[],HELP!H306,1)
&amp;IF(N_LISTS=2,"",I_S&amp;INDEX(T_L3[],HELP!I306,1)
&amp;IF(N_LISTS=3,"",I_S&amp;INDEX(T_L4[],HELP!J306,1)
&amp;IF(N_LISTS=4,"",I_S&amp;INDEX(T_L5[],HELP!K306,1)
&amp;IF(N_LISTS=5,"",I_S&amp;INDEX(T_L6[],HELP!L306,1))))))),"")</f>
        <v/>
      </c>
    </row>
    <row r="311" spans="16:16" x14ac:dyDescent="0.2">
      <c r="P311" s="7" t="str">
        <f ca="1">IFERROR(IF(HELP!$F307&gt;N,"",INDEX(T_L1[],HELP!G307,1)
&amp;IF(N_LISTS=1,"",I_S&amp;INDEX(T_L2[],HELP!H307,1)
&amp;IF(N_LISTS=2,"",I_S&amp;INDEX(T_L3[],HELP!I307,1)
&amp;IF(N_LISTS=3,"",I_S&amp;INDEX(T_L4[],HELP!J307,1)
&amp;IF(N_LISTS=4,"",I_S&amp;INDEX(T_L5[],HELP!K307,1)
&amp;IF(N_LISTS=5,"",I_S&amp;INDEX(T_L6[],HELP!L307,1))))))),"")</f>
        <v/>
      </c>
    </row>
    <row r="312" spans="16:16" x14ac:dyDescent="0.2">
      <c r="P312" s="7" t="str">
        <f ca="1">IFERROR(IF(HELP!$F308&gt;N,"",INDEX(T_L1[],HELP!G308,1)
&amp;IF(N_LISTS=1,"",I_S&amp;INDEX(T_L2[],HELP!H308,1)
&amp;IF(N_LISTS=2,"",I_S&amp;INDEX(T_L3[],HELP!I308,1)
&amp;IF(N_LISTS=3,"",I_S&amp;INDEX(T_L4[],HELP!J308,1)
&amp;IF(N_LISTS=4,"",I_S&amp;INDEX(T_L5[],HELP!K308,1)
&amp;IF(N_LISTS=5,"",I_S&amp;INDEX(T_L6[],HELP!L308,1))))))),"")</f>
        <v/>
      </c>
    </row>
    <row r="313" spans="16:16" x14ac:dyDescent="0.2">
      <c r="P313" s="7" t="str">
        <f ca="1">IFERROR(IF(HELP!$F309&gt;N,"",INDEX(T_L1[],HELP!G309,1)
&amp;IF(N_LISTS=1,"",I_S&amp;INDEX(T_L2[],HELP!H309,1)
&amp;IF(N_LISTS=2,"",I_S&amp;INDEX(T_L3[],HELP!I309,1)
&amp;IF(N_LISTS=3,"",I_S&amp;INDEX(T_L4[],HELP!J309,1)
&amp;IF(N_LISTS=4,"",I_S&amp;INDEX(T_L5[],HELP!K309,1)
&amp;IF(N_LISTS=5,"",I_S&amp;INDEX(T_L6[],HELP!L309,1))))))),"")</f>
        <v/>
      </c>
    </row>
    <row r="314" spans="16:16" x14ac:dyDescent="0.2">
      <c r="P314" s="7" t="str">
        <f ca="1">IFERROR(IF(HELP!$F310&gt;N,"",INDEX(T_L1[],HELP!G310,1)
&amp;IF(N_LISTS=1,"",I_S&amp;INDEX(T_L2[],HELP!H310,1)
&amp;IF(N_LISTS=2,"",I_S&amp;INDEX(T_L3[],HELP!I310,1)
&amp;IF(N_LISTS=3,"",I_S&amp;INDEX(T_L4[],HELP!J310,1)
&amp;IF(N_LISTS=4,"",I_S&amp;INDEX(T_L5[],HELP!K310,1)
&amp;IF(N_LISTS=5,"",I_S&amp;INDEX(T_L6[],HELP!L310,1))))))),"")</f>
        <v/>
      </c>
    </row>
    <row r="315" spans="16:16" x14ac:dyDescent="0.2">
      <c r="P315" s="7" t="str">
        <f ca="1">IFERROR(IF(HELP!$F311&gt;N,"",INDEX(T_L1[],HELP!G311,1)
&amp;IF(N_LISTS=1,"",I_S&amp;INDEX(T_L2[],HELP!H311,1)
&amp;IF(N_LISTS=2,"",I_S&amp;INDEX(T_L3[],HELP!I311,1)
&amp;IF(N_LISTS=3,"",I_S&amp;INDEX(T_L4[],HELP!J311,1)
&amp;IF(N_LISTS=4,"",I_S&amp;INDEX(T_L5[],HELP!K311,1)
&amp;IF(N_LISTS=5,"",I_S&amp;INDEX(T_L6[],HELP!L311,1))))))),"")</f>
        <v/>
      </c>
    </row>
    <row r="316" spans="16:16" x14ac:dyDescent="0.2">
      <c r="P316" s="7" t="str">
        <f ca="1">IFERROR(IF(HELP!$F312&gt;N,"",INDEX(T_L1[],HELP!G312,1)
&amp;IF(N_LISTS=1,"",I_S&amp;INDEX(T_L2[],HELP!H312,1)
&amp;IF(N_LISTS=2,"",I_S&amp;INDEX(T_L3[],HELP!I312,1)
&amp;IF(N_LISTS=3,"",I_S&amp;INDEX(T_L4[],HELP!J312,1)
&amp;IF(N_LISTS=4,"",I_S&amp;INDEX(T_L5[],HELP!K312,1)
&amp;IF(N_LISTS=5,"",I_S&amp;INDEX(T_L6[],HELP!L312,1))))))),"")</f>
        <v/>
      </c>
    </row>
    <row r="317" spans="16:16" x14ac:dyDescent="0.2">
      <c r="P317" s="7" t="str">
        <f ca="1">IFERROR(IF(HELP!$F313&gt;N,"",INDEX(T_L1[],HELP!G313,1)
&amp;IF(N_LISTS=1,"",I_S&amp;INDEX(T_L2[],HELP!H313,1)
&amp;IF(N_LISTS=2,"",I_S&amp;INDEX(T_L3[],HELP!I313,1)
&amp;IF(N_LISTS=3,"",I_S&amp;INDEX(T_L4[],HELP!J313,1)
&amp;IF(N_LISTS=4,"",I_S&amp;INDEX(T_L5[],HELP!K313,1)
&amp;IF(N_LISTS=5,"",I_S&amp;INDEX(T_L6[],HELP!L313,1))))))),"")</f>
        <v/>
      </c>
    </row>
    <row r="318" spans="16:16" x14ac:dyDescent="0.2">
      <c r="P318" s="7" t="str">
        <f ca="1">IFERROR(IF(HELP!$F314&gt;N,"",INDEX(T_L1[],HELP!G314,1)
&amp;IF(N_LISTS=1,"",I_S&amp;INDEX(T_L2[],HELP!H314,1)
&amp;IF(N_LISTS=2,"",I_S&amp;INDEX(T_L3[],HELP!I314,1)
&amp;IF(N_LISTS=3,"",I_S&amp;INDEX(T_L4[],HELP!J314,1)
&amp;IF(N_LISTS=4,"",I_S&amp;INDEX(T_L5[],HELP!K314,1)
&amp;IF(N_LISTS=5,"",I_S&amp;INDEX(T_L6[],HELP!L314,1))))))),"")</f>
        <v/>
      </c>
    </row>
    <row r="319" spans="16:16" x14ac:dyDescent="0.2">
      <c r="P319" s="7" t="str">
        <f ca="1">IFERROR(IF(HELP!$F315&gt;N,"",INDEX(T_L1[],HELP!G315,1)
&amp;IF(N_LISTS=1,"",I_S&amp;INDEX(T_L2[],HELP!H315,1)
&amp;IF(N_LISTS=2,"",I_S&amp;INDEX(T_L3[],HELP!I315,1)
&amp;IF(N_LISTS=3,"",I_S&amp;INDEX(T_L4[],HELP!J315,1)
&amp;IF(N_LISTS=4,"",I_S&amp;INDEX(T_L5[],HELP!K315,1)
&amp;IF(N_LISTS=5,"",I_S&amp;INDEX(T_L6[],HELP!L315,1))))))),"")</f>
        <v/>
      </c>
    </row>
    <row r="320" spans="16:16" x14ac:dyDescent="0.2">
      <c r="P320" s="7" t="str">
        <f ca="1">IFERROR(IF(HELP!$F316&gt;N,"",INDEX(T_L1[],HELP!G316,1)
&amp;IF(N_LISTS=1,"",I_S&amp;INDEX(T_L2[],HELP!H316,1)
&amp;IF(N_LISTS=2,"",I_S&amp;INDEX(T_L3[],HELP!I316,1)
&amp;IF(N_LISTS=3,"",I_S&amp;INDEX(T_L4[],HELP!J316,1)
&amp;IF(N_LISTS=4,"",I_S&amp;INDEX(T_L5[],HELP!K316,1)
&amp;IF(N_LISTS=5,"",I_S&amp;INDEX(T_L6[],HELP!L316,1))))))),"")</f>
        <v/>
      </c>
    </row>
    <row r="321" spans="16:16" x14ac:dyDescent="0.2">
      <c r="P321" s="7" t="str">
        <f ca="1">IFERROR(IF(HELP!$F317&gt;N,"",INDEX(T_L1[],HELP!G317,1)
&amp;IF(N_LISTS=1,"",I_S&amp;INDEX(T_L2[],HELP!H317,1)
&amp;IF(N_LISTS=2,"",I_S&amp;INDEX(T_L3[],HELP!I317,1)
&amp;IF(N_LISTS=3,"",I_S&amp;INDEX(T_L4[],HELP!J317,1)
&amp;IF(N_LISTS=4,"",I_S&amp;INDEX(T_L5[],HELP!K317,1)
&amp;IF(N_LISTS=5,"",I_S&amp;INDEX(T_L6[],HELP!L317,1))))))),"")</f>
        <v/>
      </c>
    </row>
    <row r="322" spans="16:16" x14ac:dyDescent="0.2">
      <c r="P322" s="7" t="str">
        <f ca="1">IFERROR(IF(HELP!$F318&gt;N,"",INDEX(T_L1[],HELP!G318,1)
&amp;IF(N_LISTS=1,"",I_S&amp;INDEX(T_L2[],HELP!H318,1)
&amp;IF(N_LISTS=2,"",I_S&amp;INDEX(T_L3[],HELP!I318,1)
&amp;IF(N_LISTS=3,"",I_S&amp;INDEX(T_L4[],HELP!J318,1)
&amp;IF(N_LISTS=4,"",I_S&amp;INDEX(T_L5[],HELP!K318,1)
&amp;IF(N_LISTS=5,"",I_S&amp;INDEX(T_L6[],HELP!L318,1))))))),"")</f>
        <v/>
      </c>
    </row>
    <row r="323" spans="16:16" x14ac:dyDescent="0.2">
      <c r="P323" s="7" t="str">
        <f ca="1">IFERROR(IF(HELP!$F319&gt;N,"",INDEX(T_L1[],HELP!G319,1)
&amp;IF(N_LISTS=1,"",I_S&amp;INDEX(T_L2[],HELP!H319,1)
&amp;IF(N_LISTS=2,"",I_S&amp;INDEX(T_L3[],HELP!I319,1)
&amp;IF(N_LISTS=3,"",I_S&amp;INDEX(T_L4[],HELP!J319,1)
&amp;IF(N_LISTS=4,"",I_S&amp;INDEX(T_L5[],HELP!K319,1)
&amp;IF(N_LISTS=5,"",I_S&amp;INDEX(T_L6[],HELP!L319,1))))))),"")</f>
        <v/>
      </c>
    </row>
    <row r="324" spans="16:16" x14ac:dyDescent="0.2">
      <c r="P324" s="7" t="str">
        <f ca="1">IFERROR(IF(HELP!$F320&gt;N,"",INDEX(T_L1[],HELP!G320,1)
&amp;IF(N_LISTS=1,"",I_S&amp;INDEX(T_L2[],HELP!H320,1)
&amp;IF(N_LISTS=2,"",I_S&amp;INDEX(T_L3[],HELP!I320,1)
&amp;IF(N_LISTS=3,"",I_S&amp;INDEX(T_L4[],HELP!J320,1)
&amp;IF(N_LISTS=4,"",I_S&amp;INDEX(T_L5[],HELP!K320,1)
&amp;IF(N_LISTS=5,"",I_S&amp;INDEX(T_L6[],HELP!L320,1))))))),"")</f>
        <v/>
      </c>
    </row>
    <row r="325" spans="16:16" x14ac:dyDescent="0.2">
      <c r="P325" s="7" t="str">
        <f ca="1">IFERROR(IF(HELP!$F321&gt;N,"",INDEX(T_L1[],HELP!G321,1)
&amp;IF(N_LISTS=1,"",I_S&amp;INDEX(T_L2[],HELP!H321,1)
&amp;IF(N_LISTS=2,"",I_S&amp;INDEX(T_L3[],HELP!I321,1)
&amp;IF(N_LISTS=3,"",I_S&amp;INDEX(T_L4[],HELP!J321,1)
&amp;IF(N_LISTS=4,"",I_S&amp;INDEX(T_L5[],HELP!K321,1)
&amp;IF(N_LISTS=5,"",I_S&amp;INDEX(T_L6[],HELP!L321,1))))))),"")</f>
        <v/>
      </c>
    </row>
    <row r="326" spans="16:16" x14ac:dyDescent="0.2">
      <c r="P326" s="7" t="str">
        <f ca="1">IFERROR(IF(HELP!$F322&gt;N,"",INDEX(T_L1[],HELP!G322,1)
&amp;IF(N_LISTS=1,"",I_S&amp;INDEX(T_L2[],HELP!H322,1)
&amp;IF(N_LISTS=2,"",I_S&amp;INDEX(T_L3[],HELP!I322,1)
&amp;IF(N_LISTS=3,"",I_S&amp;INDEX(T_L4[],HELP!J322,1)
&amp;IF(N_LISTS=4,"",I_S&amp;INDEX(T_L5[],HELP!K322,1)
&amp;IF(N_LISTS=5,"",I_S&amp;INDEX(T_L6[],HELP!L322,1))))))),"")</f>
        <v/>
      </c>
    </row>
    <row r="327" spans="16:16" x14ac:dyDescent="0.2">
      <c r="P327" s="7" t="str">
        <f ca="1">IFERROR(IF(HELP!$F323&gt;N,"",INDEX(T_L1[],HELP!G323,1)
&amp;IF(N_LISTS=1,"",I_S&amp;INDEX(T_L2[],HELP!H323,1)
&amp;IF(N_LISTS=2,"",I_S&amp;INDEX(T_L3[],HELP!I323,1)
&amp;IF(N_LISTS=3,"",I_S&amp;INDEX(T_L4[],HELP!J323,1)
&amp;IF(N_LISTS=4,"",I_S&amp;INDEX(T_L5[],HELP!K323,1)
&amp;IF(N_LISTS=5,"",I_S&amp;INDEX(T_L6[],HELP!L323,1))))))),"")</f>
        <v/>
      </c>
    </row>
    <row r="328" spans="16:16" x14ac:dyDescent="0.2">
      <c r="P328" s="7" t="str">
        <f ca="1">IFERROR(IF(HELP!$F324&gt;N,"",INDEX(T_L1[],HELP!G324,1)
&amp;IF(N_LISTS=1,"",I_S&amp;INDEX(T_L2[],HELP!H324,1)
&amp;IF(N_LISTS=2,"",I_S&amp;INDEX(T_L3[],HELP!I324,1)
&amp;IF(N_LISTS=3,"",I_S&amp;INDEX(T_L4[],HELP!J324,1)
&amp;IF(N_LISTS=4,"",I_S&amp;INDEX(T_L5[],HELP!K324,1)
&amp;IF(N_LISTS=5,"",I_S&amp;INDEX(T_L6[],HELP!L324,1))))))),"")</f>
        <v/>
      </c>
    </row>
    <row r="329" spans="16:16" x14ac:dyDescent="0.2">
      <c r="P329" s="7" t="str">
        <f ca="1">IFERROR(IF(HELP!$F325&gt;N,"",INDEX(T_L1[],HELP!G325,1)
&amp;IF(N_LISTS=1,"",I_S&amp;INDEX(T_L2[],HELP!H325,1)
&amp;IF(N_LISTS=2,"",I_S&amp;INDEX(T_L3[],HELP!I325,1)
&amp;IF(N_LISTS=3,"",I_S&amp;INDEX(T_L4[],HELP!J325,1)
&amp;IF(N_LISTS=4,"",I_S&amp;INDEX(T_L5[],HELP!K325,1)
&amp;IF(N_LISTS=5,"",I_S&amp;INDEX(T_L6[],HELP!L325,1))))))),"")</f>
        <v/>
      </c>
    </row>
    <row r="330" spans="16:16" x14ac:dyDescent="0.2">
      <c r="P330" s="7" t="str">
        <f ca="1">IFERROR(IF(HELP!$F326&gt;N,"",INDEX(T_L1[],HELP!G326,1)
&amp;IF(N_LISTS=1,"",I_S&amp;INDEX(T_L2[],HELP!H326,1)
&amp;IF(N_LISTS=2,"",I_S&amp;INDEX(T_L3[],HELP!I326,1)
&amp;IF(N_LISTS=3,"",I_S&amp;INDEX(T_L4[],HELP!J326,1)
&amp;IF(N_LISTS=4,"",I_S&amp;INDEX(T_L5[],HELP!K326,1)
&amp;IF(N_LISTS=5,"",I_S&amp;INDEX(T_L6[],HELP!L326,1))))))),"")</f>
        <v/>
      </c>
    </row>
    <row r="331" spans="16:16" x14ac:dyDescent="0.2">
      <c r="P331" s="7" t="str">
        <f ca="1">IFERROR(IF(HELP!$F327&gt;N,"",INDEX(T_L1[],HELP!G327,1)
&amp;IF(N_LISTS=1,"",I_S&amp;INDEX(T_L2[],HELP!H327,1)
&amp;IF(N_LISTS=2,"",I_S&amp;INDEX(T_L3[],HELP!I327,1)
&amp;IF(N_LISTS=3,"",I_S&amp;INDEX(T_L4[],HELP!J327,1)
&amp;IF(N_LISTS=4,"",I_S&amp;INDEX(T_L5[],HELP!K327,1)
&amp;IF(N_LISTS=5,"",I_S&amp;INDEX(T_L6[],HELP!L327,1))))))),"")</f>
        <v/>
      </c>
    </row>
    <row r="332" spans="16:16" x14ac:dyDescent="0.2">
      <c r="P332" s="7" t="str">
        <f ca="1">IFERROR(IF(HELP!$F328&gt;N,"",INDEX(T_L1[],HELP!G328,1)
&amp;IF(N_LISTS=1,"",I_S&amp;INDEX(T_L2[],HELP!H328,1)
&amp;IF(N_LISTS=2,"",I_S&amp;INDEX(T_L3[],HELP!I328,1)
&amp;IF(N_LISTS=3,"",I_S&amp;INDEX(T_L4[],HELP!J328,1)
&amp;IF(N_LISTS=4,"",I_S&amp;INDEX(T_L5[],HELP!K328,1)
&amp;IF(N_LISTS=5,"",I_S&amp;INDEX(T_L6[],HELP!L328,1))))))),"")</f>
        <v/>
      </c>
    </row>
    <row r="333" spans="16:16" x14ac:dyDescent="0.2">
      <c r="P333" s="7" t="str">
        <f ca="1">IFERROR(IF(HELP!$F329&gt;N,"",INDEX(T_L1[],HELP!G329,1)
&amp;IF(N_LISTS=1,"",I_S&amp;INDEX(T_L2[],HELP!H329,1)
&amp;IF(N_LISTS=2,"",I_S&amp;INDEX(T_L3[],HELP!I329,1)
&amp;IF(N_LISTS=3,"",I_S&amp;INDEX(T_L4[],HELP!J329,1)
&amp;IF(N_LISTS=4,"",I_S&amp;INDEX(T_L5[],HELP!K329,1)
&amp;IF(N_LISTS=5,"",I_S&amp;INDEX(T_L6[],HELP!L329,1))))))),"")</f>
        <v/>
      </c>
    </row>
    <row r="334" spans="16:16" x14ac:dyDescent="0.2">
      <c r="P334" s="7" t="str">
        <f ca="1">IFERROR(IF(HELP!$F330&gt;N,"",INDEX(T_L1[],HELP!G330,1)
&amp;IF(N_LISTS=1,"",I_S&amp;INDEX(T_L2[],HELP!H330,1)
&amp;IF(N_LISTS=2,"",I_S&amp;INDEX(T_L3[],HELP!I330,1)
&amp;IF(N_LISTS=3,"",I_S&amp;INDEX(T_L4[],HELP!J330,1)
&amp;IF(N_LISTS=4,"",I_S&amp;INDEX(T_L5[],HELP!K330,1)
&amp;IF(N_LISTS=5,"",I_S&amp;INDEX(T_L6[],HELP!L330,1))))))),"")</f>
        <v/>
      </c>
    </row>
    <row r="335" spans="16:16" x14ac:dyDescent="0.2">
      <c r="P335" s="7" t="str">
        <f ca="1">IFERROR(IF(HELP!$F331&gt;N,"",INDEX(T_L1[],HELP!G331,1)
&amp;IF(N_LISTS=1,"",I_S&amp;INDEX(T_L2[],HELP!H331,1)
&amp;IF(N_LISTS=2,"",I_S&amp;INDEX(T_L3[],HELP!I331,1)
&amp;IF(N_LISTS=3,"",I_S&amp;INDEX(T_L4[],HELP!J331,1)
&amp;IF(N_LISTS=4,"",I_S&amp;INDEX(T_L5[],HELP!K331,1)
&amp;IF(N_LISTS=5,"",I_S&amp;INDEX(T_L6[],HELP!L331,1))))))),"")</f>
        <v/>
      </c>
    </row>
    <row r="336" spans="16:16" x14ac:dyDescent="0.2">
      <c r="P336" s="7" t="str">
        <f ca="1">IFERROR(IF(HELP!$F332&gt;N,"",INDEX(T_L1[],HELP!G332,1)
&amp;IF(N_LISTS=1,"",I_S&amp;INDEX(T_L2[],HELP!H332,1)
&amp;IF(N_LISTS=2,"",I_S&amp;INDEX(T_L3[],HELP!I332,1)
&amp;IF(N_LISTS=3,"",I_S&amp;INDEX(T_L4[],HELP!J332,1)
&amp;IF(N_LISTS=4,"",I_S&amp;INDEX(T_L5[],HELP!K332,1)
&amp;IF(N_LISTS=5,"",I_S&amp;INDEX(T_L6[],HELP!L332,1))))))),"")</f>
        <v/>
      </c>
    </row>
    <row r="337" spans="16:16" x14ac:dyDescent="0.2">
      <c r="P337" s="7" t="str">
        <f ca="1">IFERROR(IF(HELP!$F333&gt;N,"",INDEX(T_L1[],HELP!G333,1)
&amp;IF(N_LISTS=1,"",I_S&amp;INDEX(T_L2[],HELP!H333,1)
&amp;IF(N_LISTS=2,"",I_S&amp;INDEX(T_L3[],HELP!I333,1)
&amp;IF(N_LISTS=3,"",I_S&amp;INDEX(T_L4[],HELP!J333,1)
&amp;IF(N_LISTS=4,"",I_S&amp;INDEX(T_L5[],HELP!K333,1)
&amp;IF(N_LISTS=5,"",I_S&amp;INDEX(T_L6[],HELP!L333,1))))))),"")</f>
        <v/>
      </c>
    </row>
    <row r="338" spans="16:16" x14ac:dyDescent="0.2">
      <c r="P338" s="7" t="str">
        <f ca="1">IFERROR(IF(HELP!$F334&gt;N,"",INDEX(T_L1[],HELP!G334,1)
&amp;IF(N_LISTS=1,"",I_S&amp;INDEX(T_L2[],HELP!H334,1)
&amp;IF(N_LISTS=2,"",I_S&amp;INDEX(T_L3[],HELP!I334,1)
&amp;IF(N_LISTS=3,"",I_S&amp;INDEX(T_L4[],HELP!J334,1)
&amp;IF(N_LISTS=4,"",I_S&amp;INDEX(T_L5[],HELP!K334,1)
&amp;IF(N_LISTS=5,"",I_S&amp;INDEX(T_L6[],HELP!L334,1))))))),"")</f>
        <v/>
      </c>
    </row>
    <row r="339" spans="16:16" x14ac:dyDescent="0.2">
      <c r="P339" s="7" t="str">
        <f ca="1">IFERROR(IF(HELP!$F335&gt;N,"",INDEX(T_L1[],HELP!G335,1)
&amp;IF(N_LISTS=1,"",I_S&amp;INDEX(T_L2[],HELP!H335,1)
&amp;IF(N_LISTS=2,"",I_S&amp;INDEX(T_L3[],HELP!I335,1)
&amp;IF(N_LISTS=3,"",I_S&amp;INDEX(T_L4[],HELP!J335,1)
&amp;IF(N_LISTS=4,"",I_S&amp;INDEX(T_L5[],HELP!K335,1)
&amp;IF(N_LISTS=5,"",I_S&amp;INDEX(T_L6[],HELP!L335,1))))))),"")</f>
        <v/>
      </c>
    </row>
    <row r="340" spans="16:16" x14ac:dyDescent="0.2">
      <c r="P340" s="7" t="str">
        <f ca="1">IFERROR(IF(HELP!$F336&gt;N,"",INDEX(T_L1[],HELP!G336,1)
&amp;IF(N_LISTS=1,"",I_S&amp;INDEX(T_L2[],HELP!H336,1)
&amp;IF(N_LISTS=2,"",I_S&amp;INDEX(T_L3[],HELP!I336,1)
&amp;IF(N_LISTS=3,"",I_S&amp;INDEX(T_L4[],HELP!J336,1)
&amp;IF(N_LISTS=4,"",I_S&amp;INDEX(T_L5[],HELP!K336,1)
&amp;IF(N_LISTS=5,"",I_S&amp;INDEX(T_L6[],HELP!L336,1))))))),"")</f>
        <v/>
      </c>
    </row>
    <row r="341" spans="16:16" x14ac:dyDescent="0.2">
      <c r="P341" s="7" t="str">
        <f ca="1">IFERROR(IF(HELP!$F337&gt;N,"",INDEX(T_L1[],HELP!G337,1)
&amp;IF(N_LISTS=1,"",I_S&amp;INDEX(T_L2[],HELP!H337,1)
&amp;IF(N_LISTS=2,"",I_S&amp;INDEX(T_L3[],HELP!I337,1)
&amp;IF(N_LISTS=3,"",I_S&amp;INDEX(T_L4[],HELP!J337,1)
&amp;IF(N_LISTS=4,"",I_S&amp;INDEX(T_L5[],HELP!K337,1)
&amp;IF(N_LISTS=5,"",I_S&amp;INDEX(T_L6[],HELP!L337,1))))))),"")</f>
        <v/>
      </c>
    </row>
    <row r="342" spans="16:16" x14ac:dyDescent="0.2">
      <c r="P342" s="7" t="str">
        <f ca="1">IFERROR(IF(HELP!$F338&gt;N,"",INDEX(T_L1[],HELP!G338,1)
&amp;IF(N_LISTS=1,"",I_S&amp;INDEX(T_L2[],HELP!H338,1)
&amp;IF(N_LISTS=2,"",I_S&amp;INDEX(T_L3[],HELP!I338,1)
&amp;IF(N_LISTS=3,"",I_S&amp;INDEX(T_L4[],HELP!J338,1)
&amp;IF(N_LISTS=4,"",I_S&amp;INDEX(T_L5[],HELP!K338,1)
&amp;IF(N_LISTS=5,"",I_S&amp;INDEX(T_L6[],HELP!L338,1))))))),"")</f>
        <v/>
      </c>
    </row>
    <row r="343" spans="16:16" x14ac:dyDescent="0.2">
      <c r="P343" s="7" t="str">
        <f ca="1">IFERROR(IF(HELP!$F339&gt;N,"",INDEX(T_L1[],HELP!G339,1)
&amp;IF(N_LISTS=1,"",I_S&amp;INDEX(T_L2[],HELP!H339,1)
&amp;IF(N_LISTS=2,"",I_S&amp;INDEX(T_L3[],HELP!I339,1)
&amp;IF(N_LISTS=3,"",I_S&amp;INDEX(T_L4[],HELP!J339,1)
&amp;IF(N_LISTS=4,"",I_S&amp;INDEX(T_L5[],HELP!K339,1)
&amp;IF(N_LISTS=5,"",I_S&amp;INDEX(T_L6[],HELP!L339,1))))))),"")</f>
        <v/>
      </c>
    </row>
    <row r="344" spans="16:16" x14ac:dyDescent="0.2">
      <c r="P344" s="7" t="str">
        <f ca="1">IFERROR(IF(HELP!$F340&gt;N,"",INDEX(T_L1[],HELP!G340,1)
&amp;IF(N_LISTS=1,"",I_S&amp;INDEX(T_L2[],HELP!H340,1)
&amp;IF(N_LISTS=2,"",I_S&amp;INDEX(T_L3[],HELP!I340,1)
&amp;IF(N_LISTS=3,"",I_S&amp;INDEX(T_L4[],HELP!J340,1)
&amp;IF(N_LISTS=4,"",I_S&amp;INDEX(T_L5[],HELP!K340,1)
&amp;IF(N_LISTS=5,"",I_S&amp;INDEX(T_L6[],HELP!L340,1))))))),"")</f>
        <v/>
      </c>
    </row>
    <row r="345" spans="16:16" x14ac:dyDescent="0.2">
      <c r="P345" s="7" t="str">
        <f ca="1">IFERROR(IF(HELP!$F341&gt;N,"",INDEX(T_L1[],HELP!G341,1)
&amp;IF(N_LISTS=1,"",I_S&amp;INDEX(T_L2[],HELP!H341,1)
&amp;IF(N_LISTS=2,"",I_S&amp;INDEX(T_L3[],HELP!I341,1)
&amp;IF(N_LISTS=3,"",I_S&amp;INDEX(T_L4[],HELP!J341,1)
&amp;IF(N_LISTS=4,"",I_S&amp;INDEX(T_L5[],HELP!K341,1)
&amp;IF(N_LISTS=5,"",I_S&amp;INDEX(T_L6[],HELP!L341,1))))))),"")</f>
        <v/>
      </c>
    </row>
    <row r="346" spans="16:16" x14ac:dyDescent="0.2">
      <c r="P346" s="7" t="str">
        <f ca="1">IFERROR(IF(HELP!$F342&gt;N,"",INDEX(T_L1[],HELP!G342,1)
&amp;IF(N_LISTS=1,"",I_S&amp;INDEX(T_L2[],HELP!H342,1)
&amp;IF(N_LISTS=2,"",I_S&amp;INDEX(T_L3[],HELP!I342,1)
&amp;IF(N_LISTS=3,"",I_S&amp;INDEX(T_L4[],HELP!J342,1)
&amp;IF(N_LISTS=4,"",I_S&amp;INDEX(T_L5[],HELP!K342,1)
&amp;IF(N_LISTS=5,"",I_S&amp;INDEX(T_L6[],HELP!L342,1))))))),"")</f>
        <v/>
      </c>
    </row>
    <row r="347" spans="16:16" x14ac:dyDescent="0.2">
      <c r="P347" s="7" t="str">
        <f ca="1">IFERROR(IF(HELP!$F343&gt;N,"",INDEX(T_L1[],HELP!G343,1)
&amp;IF(N_LISTS=1,"",I_S&amp;INDEX(T_L2[],HELP!H343,1)
&amp;IF(N_LISTS=2,"",I_S&amp;INDEX(T_L3[],HELP!I343,1)
&amp;IF(N_LISTS=3,"",I_S&amp;INDEX(T_L4[],HELP!J343,1)
&amp;IF(N_LISTS=4,"",I_S&amp;INDEX(T_L5[],HELP!K343,1)
&amp;IF(N_LISTS=5,"",I_S&amp;INDEX(T_L6[],HELP!L343,1))))))),"")</f>
        <v/>
      </c>
    </row>
    <row r="348" spans="16:16" x14ac:dyDescent="0.2">
      <c r="P348" s="7" t="str">
        <f ca="1">IFERROR(IF(HELP!$F344&gt;N,"",INDEX(T_L1[],HELP!G344,1)
&amp;IF(N_LISTS=1,"",I_S&amp;INDEX(T_L2[],HELP!H344,1)
&amp;IF(N_LISTS=2,"",I_S&amp;INDEX(T_L3[],HELP!I344,1)
&amp;IF(N_LISTS=3,"",I_S&amp;INDEX(T_L4[],HELP!J344,1)
&amp;IF(N_LISTS=4,"",I_S&amp;INDEX(T_L5[],HELP!K344,1)
&amp;IF(N_LISTS=5,"",I_S&amp;INDEX(T_L6[],HELP!L344,1))))))),"")</f>
        <v/>
      </c>
    </row>
    <row r="349" spans="16:16" x14ac:dyDescent="0.2">
      <c r="P349" s="7" t="str">
        <f ca="1">IFERROR(IF(HELP!$F345&gt;N,"",INDEX(T_L1[],HELP!G345,1)
&amp;IF(N_LISTS=1,"",I_S&amp;INDEX(T_L2[],HELP!H345,1)
&amp;IF(N_LISTS=2,"",I_S&amp;INDEX(T_L3[],HELP!I345,1)
&amp;IF(N_LISTS=3,"",I_S&amp;INDEX(T_L4[],HELP!J345,1)
&amp;IF(N_LISTS=4,"",I_S&amp;INDEX(T_L5[],HELP!K345,1)
&amp;IF(N_LISTS=5,"",I_S&amp;INDEX(T_L6[],HELP!L345,1))))))),"")</f>
        <v/>
      </c>
    </row>
    <row r="350" spans="16:16" x14ac:dyDescent="0.2">
      <c r="P350" s="7" t="str">
        <f ca="1">IFERROR(IF(HELP!$F346&gt;N,"",INDEX(T_L1[],HELP!G346,1)
&amp;IF(N_LISTS=1,"",I_S&amp;INDEX(T_L2[],HELP!H346,1)
&amp;IF(N_LISTS=2,"",I_S&amp;INDEX(T_L3[],HELP!I346,1)
&amp;IF(N_LISTS=3,"",I_S&amp;INDEX(T_L4[],HELP!J346,1)
&amp;IF(N_LISTS=4,"",I_S&amp;INDEX(T_L5[],HELP!K346,1)
&amp;IF(N_LISTS=5,"",I_S&amp;INDEX(T_L6[],HELP!L346,1))))))),"")</f>
        <v/>
      </c>
    </row>
    <row r="351" spans="16:16" x14ac:dyDescent="0.2">
      <c r="P351" s="7" t="str">
        <f ca="1">IFERROR(IF(HELP!$F347&gt;N,"",INDEX(T_L1[],HELP!G347,1)
&amp;IF(N_LISTS=1,"",I_S&amp;INDEX(T_L2[],HELP!H347,1)
&amp;IF(N_LISTS=2,"",I_S&amp;INDEX(T_L3[],HELP!I347,1)
&amp;IF(N_LISTS=3,"",I_S&amp;INDEX(T_L4[],HELP!J347,1)
&amp;IF(N_LISTS=4,"",I_S&amp;INDEX(T_L5[],HELP!K347,1)
&amp;IF(N_LISTS=5,"",I_S&amp;INDEX(T_L6[],HELP!L347,1))))))),"")</f>
        <v/>
      </c>
    </row>
    <row r="352" spans="16:16" x14ac:dyDescent="0.2">
      <c r="P352" s="7" t="str">
        <f ca="1">IFERROR(IF(HELP!$F348&gt;N,"",INDEX(T_L1[],HELP!G348,1)
&amp;IF(N_LISTS=1,"",I_S&amp;INDEX(T_L2[],HELP!H348,1)
&amp;IF(N_LISTS=2,"",I_S&amp;INDEX(T_L3[],HELP!I348,1)
&amp;IF(N_LISTS=3,"",I_S&amp;INDEX(T_L4[],HELP!J348,1)
&amp;IF(N_LISTS=4,"",I_S&amp;INDEX(T_L5[],HELP!K348,1)
&amp;IF(N_LISTS=5,"",I_S&amp;INDEX(T_L6[],HELP!L348,1))))))),"")</f>
        <v/>
      </c>
    </row>
    <row r="353" spans="16:16" x14ac:dyDescent="0.2">
      <c r="P353" s="7" t="str">
        <f ca="1">IFERROR(IF(HELP!$F349&gt;N,"",INDEX(T_L1[],HELP!G349,1)
&amp;IF(N_LISTS=1,"",I_S&amp;INDEX(T_L2[],HELP!H349,1)
&amp;IF(N_LISTS=2,"",I_S&amp;INDEX(T_L3[],HELP!I349,1)
&amp;IF(N_LISTS=3,"",I_S&amp;INDEX(T_L4[],HELP!J349,1)
&amp;IF(N_LISTS=4,"",I_S&amp;INDEX(T_L5[],HELP!K349,1)
&amp;IF(N_LISTS=5,"",I_S&amp;INDEX(T_L6[],HELP!L349,1))))))),"")</f>
        <v/>
      </c>
    </row>
    <row r="354" spans="16:16" x14ac:dyDescent="0.2">
      <c r="P354" s="7" t="str">
        <f ca="1">IFERROR(IF(HELP!$F350&gt;N,"",INDEX(T_L1[],HELP!G350,1)
&amp;IF(N_LISTS=1,"",I_S&amp;INDEX(T_L2[],HELP!H350,1)
&amp;IF(N_LISTS=2,"",I_S&amp;INDEX(T_L3[],HELP!I350,1)
&amp;IF(N_LISTS=3,"",I_S&amp;INDEX(T_L4[],HELP!J350,1)
&amp;IF(N_LISTS=4,"",I_S&amp;INDEX(T_L5[],HELP!K350,1)
&amp;IF(N_LISTS=5,"",I_S&amp;INDEX(T_L6[],HELP!L350,1))))))),"")</f>
        <v/>
      </c>
    </row>
    <row r="355" spans="16:16" x14ac:dyDescent="0.2">
      <c r="P355" s="7" t="str">
        <f ca="1">IFERROR(IF(HELP!$F351&gt;N,"",INDEX(T_L1[],HELP!G351,1)
&amp;IF(N_LISTS=1,"",I_S&amp;INDEX(T_L2[],HELP!H351,1)
&amp;IF(N_LISTS=2,"",I_S&amp;INDEX(T_L3[],HELP!I351,1)
&amp;IF(N_LISTS=3,"",I_S&amp;INDEX(T_L4[],HELP!J351,1)
&amp;IF(N_LISTS=4,"",I_S&amp;INDEX(T_L5[],HELP!K351,1)
&amp;IF(N_LISTS=5,"",I_S&amp;INDEX(T_L6[],HELP!L351,1))))))),"")</f>
        <v/>
      </c>
    </row>
    <row r="356" spans="16:16" x14ac:dyDescent="0.2">
      <c r="P356" s="7" t="str">
        <f ca="1">IFERROR(IF(HELP!$F352&gt;N,"",INDEX(T_L1[],HELP!G352,1)
&amp;IF(N_LISTS=1,"",I_S&amp;INDEX(T_L2[],HELP!H352,1)
&amp;IF(N_LISTS=2,"",I_S&amp;INDEX(T_L3[],HELP!I352,1)
&amp;IF(N_LISTS=3,"",I_S&amp;INDEX(T_L4[],HELP!J352,1)
&amp;IF(N_LISTS=4,"",I_S&amp;INDEX(T_L5[],HELP!K352,1)
&amp;IF(N_LISTS=5,"",I_S&amp;INDEX(T_L6[],HELP!L352,1))))))),"")</f>
        <v/>
      </c>
    </row>
    <row r="357" spans="16:16" x14ac:dyDescent="0.2">
      <c r="P357" s="7" t="str">
        <f ca="1">IFERROR(IF(HELP!$F353&gt;N,"",INDEX(T_L1[],HELP!G353,1)
&amp;IF(N_LISTS=1,"",I_S&amp;INDEX(T_L2[],HELP!H353,1)
&amp;IF(N_LISTS=2,"",I_S&amp;INDEX(T_L3[],HELP!I353,1)
&amp;IF(N_LISTS=3,"",I_S&amp;INDEX(T_L4[],HELP!J353,1)
&amp;IF(N_LISTS=4,"",I_S&amp;INDEX(T_L5[],HELP!K353,1)
&amp;IF(N_LISTS=5,"",I_S&amp;INDEX(T_L6[],HELP!L353,1))))))),"")</f>
        <v/>
      </c>
    </row>
    <row r="358" spans="16:16" x14ac:dyDescent="0.2">
      <c r="P358" s="7" t="str">
        <f ca="1">IFERROR(IF(HELP!$F354&gt;N,"",INDEX(T_L1[],HELP!G354,1)
&amp;IF(N_LISTS=1,"",I_S&amp;INDEX(T_L2[],HELP!H354,1)
&amp;IF(N_LISTS=2,"",I_S&amp;INDEX(T_L3[],HELP!I354,1)
&amp;IF(N_LISTS=3,"",I_S&amp;INDEX(T_L4[],HELP!J354,1)
&amp;IF(N_LISTS=4,"",I_S&amp;INDEX(T_L5[],HELP!K354,1)
&amp;IF(N_LISTS=5,"",I_S&amp;INDEX(T_L6[],HELP!L354,1))))))),"")</f>
        <v/>
      </c>
    </row>
    <row r="359" spans="16:16" x14ac:dyDescent="0.2">
      <c r="P359" s="7" t="str">
        <f ca="1">IFERROR(IF(HELP!$F355&gt;N,"",INDEX(T_L1[],HELP!G355,1)
&amp;IF(N_LISTS=1,"",I_S&amp;INDEX(T_L2[],HELP!H355,1)
&amp;IF(N_LISTS=2,"",I_S&amp;INDEX(T_L3[],HELP!I355,1)
&amp;IF(N_LISTS=3,"",I_S&amp;INDEX(T_L4[],HELP!J355,1)
&amp;IF(N_LISTS=4,"",I_S&amp;INDEX(T_L5[],HELP!K355,1)
&amp;IF(N_LISTS=5,"",I_S&amp;INDEX(T_L6[],HELP!L355,1))))))),"")</f>
        <v/>
      </c>
    </row>
    <row r="360" spans="16:16" x14ac:dyDescent="0.2">
      <c r="P360" s="7" t="str">
        <f ca="1">IFERROR(IF(HELP!$F356&gt;N,"",INDEX(T_L1[],HELP!G356,1)
&amp;IF(N_LISTS=1,"",I_S&amp;INDEX(T_L2[],HELP!H356,1)
&amp;IF(N_LISTS=2,"",I_S&amp;INDEX(T_L3[],HELP!I356,1)
&amp;IF(N_LISTS=3,"",I_S&amp;INDEX(T_L4[],HELP!J356,1)
&amp;IF(N_LISTS=4,"",I_S&amp;INDEX(T_L5[],HELP!K356,1)
&amp;IF(N_LISTS=5,"",I_S&amp;INDEX(T_L6[],HELP!L356,1))))))),"")</f>
        <v/>
      </c>
    </row>
    <row r="361" spans="16:16" x14ac:dyDescent="0.2">
      <c r="P361" s="7" t="str">
        <f ca="1">IFERROR(IF(HELP!$F357&gt;N,"",INDEX(T_L1[],HELP!G357,1)
&amp;IF(N_LISTS=1,"",I_S&amp;INDEX(T_L2[],HELP!H357,1)
&amp;IF(N_LISTS=2,"",I_S&amp;INDEX(T_L3[],HELP!I357,1)
&amp;IF(N_LISTS=3,"",I_S&amp;INDEX(T_L4[],HELP!J357,1)
&amp;IF(N_LISTS=4,"",I_S&amp;INDEX(T_L5[],HELP!K357,1)
&amp;IF(N_LISTS=5,"",I_S&amp;INDEX(T_L6[],HELP!L357,1))))))),"")</f>
        <v/>
      </c>
    </row>
    <row r="362" spans="16:16" x14ac:dyDescent="0.2">
      <c r="P362" s="7" t="str">
        <f ca="1">IFERROR(IF(HELP!$F358&gt;N,"",INDEX(T_L1[],HELP!G358,1)
&amp;IF(N_LISTS=1,"",I_S&amp;INDEX(T_L2[],HELP!H358,1)
&amp;IF(N_LISTS=2,"",I_S&amp;INDEX(T_L3[],HELP!I358,1)
&amp;IF(N_LISTS=3,"",I_S&amp;INDEX(T_L4[],HELP!J358,1)
&amp;IF(N_LISTS=4,"",I_S&amp;INDEX(T_L5[],HELP!K358,1)
&amp;IF(N_LISTS=5,"",I_S&amp;INDEX(T_L6[],HELP!L358,1))))))),"")</f>
        <v/>
      </c>
    </row>
    <row r="363" spans="16:16" x14ac:dyDescent="0.2">
      <c r="P363" s="7" t="str">
        <f ca="1">IFERROR(IF(HELP!$F359&gt;N,"",INDEX(T_L1[],HELP!G359,1)
&amp;IF(N_LISTS=1,"",I_S&amp;INDEX(T_L2[],HELP!H359,1)
&amp;IF(N_LISTS=2,"",I_S&amp;INDEX(T_L3[],HELP!I359,1)
&amp;IF(N_LISTS=3,"",I_S&amp;INDEX(T_L4[],HELP!J359,1)
&amp;IF(N_LISTS=4,"",I_S&amp;INDEX(T_L5[],HELP!K359,1)
&amp;IF(N_LISTS=5,"",I_S&amp;INDEX(T_L6[],HELP!L359,1))))))),"")</f>
        <v/>
      </c>
    </row>
    <row r="364" spans="16:16" x14ac:dyDescent="0.2">
      <c r="P364" s="7" t="str">
        <f ca="1">IFERROR(IF(HELP!$F360&gt;N,"",INDEX(T_L1[],HELP!G360,1)
&amp;IF(N_LISTS=1,"",I_S&amp;INDEX(T_L2[],HELP!H360,1)
&amp;IF(N_LISTS=2,"",I_S&amp;INDEX(T_L3[],HELP!I360,1)
&amp;IF(N_LISTS=3,"",I_S&amp;INDEX(T_L4[],HELP!J360,1)
&amp;IF(N_LISTS=4,"",I_S&amp;INDEX(T_L5[],HELP!K360,1)
&amp;IF(N_LISTS=5,"",I_S&amp;INDEX(T_L6[],HELP!L360,1))))))),"")</f>
        <v/>
      </c>
    </row>
    <row r="365" spans="16:16" x14ac:dyDescent="0.2">
      <c r="P365" s="7" t="str">
        <f ca="1">IFERROR(IF(HELP!$F361&gt;N,"",INDEX(T_L1[],HELP!G361,1)
&amp;IF(N_LISTS=1,"",I_S&amp;INDEX(T_L2[],HELP!H361,1)
&amp;IF(N_LISTS=2,"",I_S&amp;INDEX(T_L3[],HELP!I361,1)
&amp;IF(N_LISTS=3,"",I_S&amp;INDEX(T_L4[],HELP!J361,1)
&amp;IF(N_LISTS=4,"",I_S&amp;INDEX(T_L5[],HELP!K361,1)
&amp;IF(N_LISTS=5,"",I_S&amp;INDEX(T_L6[],HELP!L361,1))))))),"")</f>
        <v/>
      </c>
    </row>
    <row r="366" spans="16:16" x14ac:dyDescent="0.2">
      <c r="P366" s="7" t="str">
        <f ca="1">IFERROR(IF(HELP!$F362&gt;N,"",INDEX(T_L1[],HELP!G362,1)
&amp;IF(N_LISTS=1,"",I_S&amp;INDEX(T_L2[],HELP!H362,1)
&amp;IF(N_LISTS=2,"",I_S&amp;INDEX(T_L3[],HELP!I362,1)
&amp;IF(N_LISTS=3,"",I_S&amp;INDEX(T_L4[],HELP!J362,1)
&amp;IF(N_LISTS=4,"",I_S&amp;INDEX(T_L5[],HELP!K362,1)
&amp;IF(N_LISTS=5,"",I_S&amp;INDEX(T_L6[],HELP!L362,1))))))),"")</f>
        <v/>
      </c>
    </row>
    <row r="367" spans="16:16" x14ac:dyDescent="0.2">
      <c r="P367" s="7" t="str">
        <f ca="1">IFERROR(IF(HELP!$F363&gt;N,"",INDEX(T_L1[],HELP!G363,1)
&amp;IF(N_LISTS=1,"",I_S&amp;INDEX(T_L2[],HELP!H363,1)
&amp;IF(N_LISTS=2,"",I_S&amp;INDEX(T_L3[],HELP!I363,1)
&amp;IF(N_LISTS=3,"",I_S&amp;INDEX(T_L4[],HELP!J363,1)
&amp;IF(N_LISTS=4,"",I_S&amp;INDEX(T_L5[],HELP!K363,1)
&amp;IF(N_LISTS=5,"",I_S&amp;INDEX(T_L6[],HELP!L363,1))))))),"")</f>
        <v/>
      </c>
    </row>
    <row r="368" spans="16:16" x14ac:dyDescent="0.2">
      <c r="P368" s="7" t="str">
        <f ca="1">IFERROR(IF(HELP!$F364&gt;N,"",INDEX(T_L1[],HELP!G364,1)
&amp;IF(N_LISTS=1,"",I_S&amp;INDEX(T_L2[],HELP!H364,1)
&amp;IF(N_LISTS=2,"",I_S&amp;INDEX(T_L3[],HELP!I364,1)
&amp;IF(N_LISTS=3,"",I_S&amp;INDEX(T_L4[],HELP!J364,1)
&amp;IF(N_LISTS=4,"",I_S&amp;INDEX(T_L5[],HELP!K364,1)
&amp;IF(N_LISTS=5,"",I_S&amp;INDEX(T_L6[],HELP!L364,1))))))),"")</f>
        <v/>
      </c>
    </row>
    <row r="369" spans="16:16" x14ac:dyDescent="0.2">
      <c r="P369" s="7" t="str">
        <f ca="1">IFERROR(IF(HELP!$F365&gt;N,"",INDEX(T_L1[],HELP!G365,1)
&amp;IF(N_LISTS=1,"",I_S&amp;INDEX(T_L2[],HELP!H365,1)
&amp;IF(N_LISTS=2,"",I_S&amp;INDEX(T_L3[],HELP!I365,1)
&amp;IF(N_LISTS=3,"",I_S&amp;INDEX(T_L4[],HELP!J365,1)
&amp;IF(N_LISTS=4,"",I_S&amp;INDEX(T_L5[],HELP!K365,1)
&amp;IF(N_LISTS=5,"",I_S&amp;INDEX(T_L6[],HELP!L365,1))))))),"")</f>
        <v/>
      </c>
    </row>
    <row r="370" spans="16:16" x14ac:dyDescent="0.2">
      <c r="P370" s="7" t="str">
        <f ca="1">IFERROR(IF(HELP!$F366&gt;N,"",INDEX(T_L1[],HELP!G366,1)
&amp;IF(N_LISTS=1,"",I_S&amp;INDEX(T_L2[],HELP!H366,1)
&amp;IF(N_LISTS=2,"",I_S&amp;INDEX(T_L3[],HELP!I366,1)
&amp;IF(N_LISTS=3,"",I_S&amp;INDEX(T_L4[],HELP!J366,1)
&amp;IF(N_LISTS=4,"",I_S&amp;INDEX(T_L5[],HELP!K366,1)
&amp;IF(N_LISTS=5,"",I_S&amp;INDEX(T_L6[],HELP!L366,1))))))),"")</f>
        <v/>
      </c>
    </row>
    <row r="371" spans="16:16" x14ac:dyDescent="0.2">
      <c r="P371" s="7" t="str">
        <f ca="1">IFERROR(IF(HELP!$F367&gt;N,"",INDEX(T_L1[],HELP!G367,1)
&amp;IF(N_LISTS=1,"",I_S&amp;INDEX(T_L2[],HELP!H367,1)
&amp;IF(N_LISTS=2,"",I_S&amp;INDEX(T_L3[],HELP!I367,1)
&amp;IF(N_LISTS=3,"",I_S&amp;INDEX(T_L4[],HELP!J367,1)
&amp;IF(N_LISTS=4,"",I_S&amp;INDEX(T_L5[],HELP!K367,1)
&amp;IF(N_LISTS=5,"",I_S&amp;INDEX(T_L6[],HELP!L367,1))))))),"")</f>
        <v/>
      </c>
    </row>
    <row r="372" spans="16:16" x14ac:dyDescent="0.2">
      <c r="P372" s="7" t="str">
        <f ca="1">IFERROR(IF(HELP!$F368&gt;N,"",INDEX(T_L1[],HELP!G368,1)
&amp;IF(N_LISTS=1,"",I_S&amp;INDEX(T_L2[],HELP!H368,1)
&amp;IF(N_LISTS=2,"",I_S&amp;INDEX(T_L3[],HELP!I368,1)
&amp;IF(N_LISTS=3,"",I_S&amp;INDEX(T_L4[],HELP!J368,1)
&amp;IF(N_LISTS=4,"",I_S&amp;INDEX(T_L5[],HELP!K368,1)
&amp;IF(N_LISTS=5,"",I_S&amp;INDEX(T_L6[],HELP!L368,1))))))),"")</f>
        <v/>
      </c>
    </row>
    <row r="373" spans="16:16" x14ac:dyDescent="0.2">
      <c r="P373" s="7" t="str">
        <f ca="1">IFERROR(IF(HELP!$F369&gt;N,"",INDEX(T_L1[],HELP!G369,1)
&amp;IF(N_LISTS=1,"",I_S&amp;INDEX(T_L2[],HELP!H369,1)
&amp;IF(N_LISTS=2,"",I_S&amp;INDEX(T_L3[],HELP!I369,1)
&amp;IF(N_LISTS=3,"",I_S&amp;INDEX(T_L4[],HELP!J369,1)
&amp;IF(N_LISTS=4,"",I_S&amp;INDEX(T_L5[],HELP!K369,1)
&amp;IF(N_LISTS=5,"",I_S&amp;INDEX(T_L6[],HELP!L369,1))))))),"")</f>
        <v/>
      </c>
    </row>
    <row r="374" spans="16:16" x14ac:dyDescent="0.2">
      <c r="P374" s="7" t="str">
        <f ca="1">IFERROR(IF(HELP!$F370&gt;N,"",INDEX(T_L1[],HELP!G370,1)
&amp;IF(N_LISTS=1,"",I_S&amp;INDEX(T_L2[],HELP!H370,1)
&amp;IF(N_LISTS=2,"",I_S&amp;INDEX(T_L3[],HELP!I370,1)
&amp;IF(N_LISTS=3,"",I_S&amp;INDEX(T_L4[],HELP!J370,1)
&amp;IF(N_LISTS=4,"",I_S&amp;INDEX(T_L5[],HELP!K370,1)
&amp;IF(N_LISTS=5,"",I_S&amp;INDEX(T_L6[],HELP!L370,1))))))),"")</f>
        <v/>
      </c>
    </row>
    <row r="375" spans="16:16" x14ac:dyDescent="0.2">
      <c r="P375" s="7" t="str">
        <f ca="1">IFERROR(IF(HELP!$F371&gt;N,"",INDEX(T_L1[],HELP!G371,1)
&amp;IF(N_LISTS=1,"",I_S&amp;INDEX(T_L2[],HELP!H371,1)
&amp;IF(N_LISTS=2,"",I_S&amp;INDEX(T_L3[],HELP!I371,1)
&amp;IF(N_LISTS=3,"",I_S&amp;INDEX(T_L4[],HELP!J371,1)
&amp;IF(N_LISTS=4,"",I_S&amp;INDEX(T_L5[],HELP!K371,1)
&amp;IF(N_LISTS=5,"",I_S&amp;INDEX(T_L6[],HELP!L371,1))))))),"")</f>
        <v/>
      </c>
    </row>
    <row r="376" spans="16:16" x14ac:dyDescent="0.2">
      <c r="P376" s="7" t="str">
        <f ca="1">IFERROR(IF(HELP!$F372&gt;N,"",INDEX(T_L1[],HELP!G372,1)
&amp;IF(N_LISTS=1,"",I_S&amp;INDEX(T_L2[],HELP!H372,1)
&amp;IF(N_LISTS=2,"",I_S&amp;INDEX(T_L3[],HELP!I372,1)
&amp;IF(N_LISTS=3,"",I_S&amp;INDEX(T_L4[],HELP!J372,1)
&amp;IF(N_LISTS=4,"",I_S&amp;INDEX(T_L5[],HELP!K372,1)
&amp;IF(N_LISTS=5,"",I_S&amp;INDEX(T_L6[],HELP!L372,1))))))),"")</f>
        <v/>
      </c>
    </row>
    <row r="377" spans="16:16" x14ac:dyDescent="0.2">
      <c r="P377" s="7" t="str">
        <f ca="1">IFERROR(IF(HELP!$F373&gt;N,"",INDEX(T_L1[],HELP!G373,1)
&amp;IF(N_LISTS=1,"",I_S&amp;INDEX(T_L2[],HELP!H373,1)
&amp;IF(N_LISTS=2,"",I_S&amp;INDEX(T_L3[],HELP!I373,1)
&amp;IF(N_LISTS=3,"",I_S&amp;INDEX(T_L4[],HELP!J373,1)
&amp;IF(N_LISTS=4,"",I_S&amp;INDEX(T_L5[],HELP!K373,1)
&amp;IF(N_LISTS=5,"",I_S&amp;INDEX(T_L6[],HELP!L373,1))))))),"")</f>
        <v/>
      </c>
    </row>
    <row r="378" spans="16:16" x14ac:dyDescent="0.2">
      <c r="P378" s="7" t="str">
        <f ca="1">IFERROR(IF(HELP!$F374&gt;N,"",INDEX(T_L1[],HELP!G374,1)
&amp;IF(N_LISTS=1,"",I_S&amp;INDEX(T_L2[],HELP!H374,1)
&amp;IF(N_LISTS=2,"",I_S&amp;INDEX(T_L3[],HELP!I374,1)
&amp;IF(N_LISTS=3,"",I_S&amp;INDEX(T_L4[],HELP!J374,1)
&amp;IF(N_LISTS=4,"",I_S&amp;INDEX(T_L5[],HELP!K374,1)
&amp;IF(N_LISTS=5,"",I_S&amp;INDEX(T_L6[],HELP!L374,1))))))),"")</f>
        <v/>
      </c>
    </row>
    <row r="379" spans="16:16" x14ac:dyDescent="0.2">
      <c r="P379" s="7" t="str">
        <f ca="1">IFERROR(IF(HELP!$F375&gt;N,"",INDEX(T_L1[],HELP!G375,1)
&amp;IF(N_LISTS=1,"",I_S&amp;INDEX(T_L2[],HELP!H375,1)
&amp;IF(N_LISTS=2,"",I_S&amp;INDEX(T_L3[],HELP!I375,1)
&amp;IF(N_LISTS=3,"",I_S&amp;INDEX(T_L4[],HELP!J375,1)
&amp;IF(N_LISTS=4,"",I_S&amp;INDEX(T_L5[],HELP!K375,1)
&amp;IF(N_LISTS=5,"",I_S&amp;INDEX(T_L6[],HELP!L375,1))))))),"")</f>
        <v/>
      </c>
    </row>
    <row r="380" spans="16:16" x14ac:dyDescent="0.2">
      <c r="P380" s="7" t="str">
        <f ca="1">IFERROR(IF(HELP!$F376&gt;N,"",INDEX(T_L1[],HELP!G376,1)
&amp;IF(N_LISTS=1,"",I_S&amp;INDEX(T_L2[],HELP!H376,1)
&amp;IF(N_LISTS=2,"",I_S&amp;INDEX(T_L3[],HELP!I376,1)
&amp;IF(N_LISTS=3,"",I_S&amp;INDEX(T_L4[],HELP!J376,1)
&amp;IF(N_LISTS=4,"",I_S&amp;INDEX(T_L5[],HELP!K376,1)
&amp;IF(N_LISTS=5,"",I_S&amp;INDEX(T_L6[],HELP!L376,1))))))),"")</f>
        <v/>
      </c>
    </row>
    <row r="381" spans="16:16" x14ac:dyDescent="0.2">
      <c r="P381" s="7" t="str">
        <f ca="1">IFERROR(IF(HELP!$F377&gt;N,"",INDEX(T_L1[],HELP!G377,1)
&amp;IF(N_LISTS=1,"",I_S&amp;INDEX(T_L2[],HELP!H377,1)
&amp;IF(N_LISTS=2,"",I_S&amp;INDEX(T_L3[],HELP!I377,1)
&amp;IF(N_LISTS=3,"",I_S&amp;INDEX(T_L4[],HELP!J377,1)
&amp;IF(N_LISTS=4,"",I_S&amp;INDEX(T_L5[],HELP!K377,1)
&amp;IF(N_LISTS=5,"",I_S&amp;INDEX(T_L6[],HELP!L377,1))))))),"")</f>
        <v/>
      </c>
    </row>
    <row r="382" spans="16:16" x14ac:dyDescent="0.2">
      <c r="P382" s="7" t="str">
        <f ca="1">IFERROR(IF(HELP!$F378&gt;N,"",INDEX(T_L1[],HELP!G378,1)
&amp;IF(N_LISTS=1,"",I_S&amp;INDEX(T_L2[],HELP!H378,1)
&amp;IF(N_LISTS=2,"",I_S&amp;INDEX(T_L3[],HELP!I378,1)
&amp;IF(N_LISTS=3,"",I_S&amp;INDEX(T_L4[],HELP!J378,1)
&amp;IF(N_LISTS=4,"",I_S&amp;INDEX(T_L5[],HELP!K378,1)
&amp;IF(N_LISTS=5,"",I_S&amp;INDEX(T_L6[],HELP!L378,1))))))),"")</f>
        <v/>
      </c>
    </row>
    <row r="383" spans="16:16" x14ac:dyDescent="0.2">
      <c r="P383" s="7" t="str">
        <f ca="1">IFERROR(IF(HELP!$F379&gt;N,"",INDEX(T_L1[],HELP!G379,1)
&amp;IF(N_LISTS=1,"",I_S&amp;INDEX(T_L2[],HELP!H379,1)
&amp;IF(N_LISTS=2,"",I_S&amp;INDEX(T_L3[],HELP!I379,1)
&amp;IF(N_LISTS=3,"",I_S&amp;INDEX(T_L4[],HELP!J379,1)
&amp;IF(N_LISTS=4,"",I_S&amp;INDEX(T_L5[],HELP!K379,1)
&amp;IF(N_LISTS=5,"",I_S&amp;INDEX(T_L6[],HELP!L379,1))))))),"")</f>
        <v/>
      </c>
    </row>
    <row r="384" spans="16:16" x14ac:dyDescent="0.2">
      <c r="P384" s="7" t="str">
        <f ca="1">IFERROR(IF(HELP!$F380&gt;N,"",INDEX(T_L1[],HELP!G380,1)
&amp;IF(N_LISTS=1,"",I_S&amp;INDEX(T_L2[],HELP!H380,1)
&amp;IF(N_LISTS=2,"",I_S&amp;INDEX(T_L3[],HELP!I380,1)
&amp;IF(N_LISTS=3,"",I_S&amp;INDEX(T_L4[],HELP!J380,1)
&amp;IF(N_LISTS=4,"",I_S&amp;INDEX(T_L5[],HELP!K380,1)
&amp;IF(N_LISTS=5,"",I_S&amp;INDEX(T_L6[],HELP!L380,1))))))),"")</f>
        <v/>
      </c>
    </row>
    <row r="385" spans="16:16" x14ac:dyDescent="0.2">
      <c r="P385" s="7" t="str">
        <f ca="1">IFERROR(IF(HELP!$F381&gt;N,"",INDEX(T_L1[],HELP!G381,1)
&amp;IF(N_LISTS=1,"",I_S&amp;INDEX(T_L2[],HELP!H381,1)
&amp;IF(N_LISTS=2,"",I_S&amp;INDEX(T_L3[],HELP!I381,1)
&amp;IF(N_LISTS=3,"",I_S&amp;INDEX(T_L4[],HELP!J381,1)
&amp;IF(N_LISTS=4,"",I_S&amp;INDEX(T_L5[],HELP!K381,1)
&amp;IF(N_LISTS=5,"",I_S&amp;INDEX(T_L6[],HELP!L381,1))))))),"")</f>
        <v/>
      </c>
    </row>
    <row r="386" spans="16:16" x14ac:dyDescent="0.2">
      <c r="P386" s="7" t="str">
        <f ca="1">IFERROR(IF(HELP!$F382&gt;N,"",INDEX(T_L1[],HELP!G382,1)
&amp;IF(N_LISTS=1,"",I_S&amp;INDEX(T_L2[],HELP!H382,1)
&amp;IF(N_LISTS=2,"",I_S&amp;INDEX(T_L3[],HELP!I382,1)
&amp;IF(N_LISTS=3,"",I_S&amp;INDEX(T_L4[],HELP!J382,1)
&amp;IF(N_LISTS=4,"",I_S&amp;INDEX(T_L5[],HELP!K382,1)
&amp;IF(N_LISTS=5,"",I_S&amp;INDEX(T_L6[],HELP!L382,1))))))),"")</f>
        <v/>
      </c>
    </row>
    <row r="387" spans="16:16" x14ac:dyDescent="0.2">
      <c r="P387" s="7" t="str">
        <f ca="1">IFERROR(IF(HELP!$F383&gt;N,"",INDEX(T_L1[],HELP!G383,1)
&amp;IF(N_LISTS=1,"",I_S&amp;INDEX(T_L2[],HELP!H383,1)
&amp;IF(N_LISTS=2,"",I_S&amp;INDEX(T_L3[],HELP!I383,1)
&amp;IF(N_LISTS=3,"",I_S&amp;INDEX(T_L4[],HELP!J383,1)
&amp;IF(N_LISTS=4,"",I_S&amp;INDEX(T_L5[],HELP!K383,1)
&amp;IF(N_LISTS=5,"",I_S&amp;INDEX(T_L6[],HELP!L383,1))))))),"")</f>
        <v/>
      </c>
    </row>
    <row r="388" spans="16:16" x14ac:dyDescent="0.2">
      <c r="P388" s="7" t="str">
        <f ca="1">IFERROR(IF(HELP!$F384&gt;N,"",INDEX(T_L1[],HELP!G384,1)
&amp;IF(N_LISTS=1,"",I_S&amp;INDEX(T_L2[],HELP!H384,1)
&amp;IF(N_LISTS=2,"",I_S&amp;INDEX(T_L3[],HELP!I384,1)
&amp;IF(N_LISTS=3,"",I_S&amp;INDEX(T_L4[],HELP!J384,1)
&amp;IF(N_LISTS=4,"",I_S&amp;INDEX(T_L5[],HELP!K384,1)
&amp;IF(N_LISTS=5,"",I_S&amp;INDEX(T_L6[],HELP!L384,1))))))),"")</f>
        <v/>
      </c>
    </row>
    <row r="389" spans="16:16" x14ac:dyDescent="0.2">
      <c r="P389" s="7" t="str">
        <f ca="1">IFERROR(IF(HELP!$F385&gt;N,"",INDEX(T_L1[],HELP!G385,1)
&amp;IF(N_LISTS=1,"",I_S&amp;INDEX(T_L2[],HELP!H385,1)
&amp;IF(N_LISTS=2,"",I_S&amp;INDEX(T_L3[],HELP!I385,1)
&amp;IF(N_LISTS=3,"",I_S&amp;INDEX(T_L4[],HELP!J385,1)
&amp;IF(N_LISTS=4,"",I_S&amp;INDEX(T_L5[],HELP!K385,1)
&amp;IF(N_LISTS=5,"",I_S&amp;INDEX(T_L6[],HELP!L385,1))))))),"")</f>
        <v/>
      </c>
    </row>
    <row r="390" spans="16:16" x14ac:dyDescent="0.2">
      <c r="P390" s="7" t="str">
        <f ca="1">IFERROR(IF(HELP!$F386&gt;N,"",INDEX(T_L1[],HELP!G386,1)
&amp;IF(N_LISTS=1,"",I_S&amp;INDEX(T_L2[],HELP!H386,1)
&amp;IF(N_LISTS=2,"",I_S&amp;INDEX(T_L3[],HELP!I386,1)
&amp;IF(N_LISTS=3,"",I_S&amp;INDEX(T_L4[],HELP!J386,1)
&amp;IF(N_LISTS=4,"",I_S&amp;INDEX(T_L5[],HELP!K386,1)
&amp;IF(N_LISTS=5,"",I_S&amp;INDEX(T_L6[],HELP!L386,1))))))),"")</f>
        <v/>
      </c>
    </row>
    <row r="391" spans="16:16" x14ac:dyDescent="0.2">
      <c r="P391" s="7" t="str">
        <f ca="1">IFERROR(IF(HELP!$F387&gt;N,"",INDEX(T_L1[],HELP!G387,1)
&amp;IF(N_LISTS=1,"",I_S&amp;INDEX(T_L2[],HELP!H387,1)
&amp;IF(N_LISTS=2,"",I_S&amp;INDEX(T_L3[],HELP!I387,1)
&amp;IF(N_LISTS=3,"",I_S&amp;INDEX(T_L4[],HELP!J387,1)
&amp;IF(N_LISTS=4,"",I_S&amp;INDEX(T_L5[],HELP!K387,1)
&amp;IF(N_LISTS=5,"",I_S&amp;INDEX(T_L6[],HELP!L387,1))))))),"")</f>
        <v/>
      </c>
    </row>
    <row r="392" spans="16:16" x14ac:dyDescent="0.2">
      <c r="P392" s="7" t="str">
        <f ca="1">IFERROR(IF(HELP!$F388&gt;N,"",INDEX(T_L1[],HELP!G388,1)
&amp;IF(N_LISTS=1,"",I_S&amp;INDEX(T_L2[],HELP!H388,1)
&amp;IF(N_LISTS=2,"",I_S&amp;INDEX(T_L3[],HELP!I388,1)
&amp;IF(N_LISTS=3,"",I_S&amp;INDEX(T_L4[],HELP!J388,1)
&amp;IF(N_LISTS=4,"",I_S&amp;INDEX(T_L5[],HELP!K388,1)
&amp;IF(N_LISTS=5,"",I_S&amp;INDEX(T_L6[],HELP!L388,1))))))),"")</f>
        <v/>
      </c>
    </row>
    <row r="393" spans="16:16" x14ac:dyDescent="0.2">
      <c r="P393" s="7" t="str">
        <f ca="1">IFERROR(IF(HELP!$F389&gt;N,"",INDEX(T_L1[],HELP!G389,1)
&amp;IF(N_LISTS=1,"",I_S&amp;INDEX(T_L2[],HELP!H389,1)
&amp;IF(N_LISTS=2,"",I_S&amp;INDEX(T_L3[],HELP!I389,1)
&amp;IF(N_LISTS=3,"",I_S&amp;INDEX(T_L4[],HELP!J389,1)
&amp;IF(N_LISTS=4,"",I_S&amp;INDEX(T_L5[],HELP!K389,1)
&amp;IF(N_LISTS=5,"",I_S&amp;INDEX(T_L6[],HELP!L389,1))))))),"")</f>
        <v/>
      </c>
    </row>
    <row r="394" spans="16:16" x14ac:dyDescent="0.2">
      <c r="P394" s="7" t="str">
        <f ca="1">IFERROR(IF(HELP!$F390&gt;N,"",INDEX(T_L1[],HELP!G390,1)
&amp;IF(N_LISTS=1,"",I_S&amp;INDEX(T_L2[],HELP!H390,1)
&amp;IF(N_LISTS=2,"",I_S&amp;INDEX(T_L3[],HELP!I390,1)
&amp;IF(N_LISTS=3,"",I_S&amp;INDEX(T_L4[],HELP!J390,1)
&amp;IF(N_LISTS=4,"",I_S&amp;INDEX(T_L5[],HELP!K390,1)
&amp;IF(N_LISTS=5,"",I_S&amp;INDEX(T_L6[],HELP!L390,1))))))),"")</f>
        <v/>
      </c>
    </row>
    <row r="395" spans="16:16" x14ac:dyDescent="0.2">
      <c r="P395" s="7" t="str">
        <f ca="1">IFERROR(IF(HELP!$F391&gt;N,"",INDEX(T_L1[],HELP!G391,1)
&amp;IF(N_LISTS=1,"",I_S&amp;INDEX(T_L2[],HELP!H391,1)
&amp;IF(N_LISTS=2,"",I_S&amp;INDEX(T_L3[],HELP!I391,1)
&amp;IF(N_LISTS=3,"",I_S&amp;INDEX(T_L4[],HELP!J391,1)
&amp;IF(N_LISTS=4,"",I_S&amp;INDEX(T_L5[],HELP!K391,1)
&amp;IF(N_LISTS=5,"",I_S&amp;INDEX(T_L6[],HELP!L391,1))))))),"")</f>
        <v/>
      </c>
    </row>
    <row r="396" spans="16:16" x14ac:dyDescent="0.2">
      <c r="P396" s="7" t="str">
        <f ca="1">IFERROR(IF(HELP!$F392&gt;N,"",INDEX(T_L1[],HELP!G392,1)
&amp;IF(N_LISTS=1,"",I_S&amp;INDEX(T_L2[],HELP!H392,1)
&amp;IF(N_LISTS=2,"",I_S&amp;INDEX(T_L3[],HELP!I392,1)
&amp;IF(N_LISTS=3,"",I_S&amp;INDEX(T_L4[],HELP!J392,1)
&amp;IF(N_LISTS=4,"",I_S&amp;INDEX(T_L5[],HELP!K392,1)
&amp;IF(N_LISTS=5,"",I_S&amp;INDEX(T_L6[],HELP!L392,1))))))),"")</f>
        <v/>
      </c>
    </row>
    <row r="397" spans="16:16" x14ac:dyDescent="0.2">
      <c r="P397" s="7" t="str">
        <f ca="1">IFERROR(IF(HELP!$F393&gt;N,"",INDEX(T_L1[],HELP!G393,1)
&amp;IF(N_LISTS=1,"",I_S&amp;INDEX(T_L2[],HELP!H393,1)
&amp;IF(N_LISTS=2,"",I_S&amp;INDEX(T_L3[],HELP!I393,1)
&amp;IF(N_LISTS=3,"",I_S&amp;INDEX(T_L4[],HELP!J393,1)
&amp;IF(N_LISTS=4,"",I_S&amp;INDEX(T_L5[],HELP!K393,1)
&amp;IF(N_LISTS=5,"",I_S&amp;INDEX(T_L6[],HELP!L393,1))))))),"")</f>
        <v/>
      </c>
    </row>
    <row r="398" spans="16:16" x14ac:dyDescent="0.2">
      <c r="P398" s="7" t="str">
        <f ca="1">IFERROR(IF(HELP!$F394&gt;N,"",INDEX(T_L1[],HELP!G394,1)
&amp;IF(N_LISTS=1,"",I_S&amp;INDEX(T_L2[],HELP!H394,1)
&amp;IF(N_LISTS=2,"",I_S&amp;INDEX(T_L3[],HELP!I394,1)
&amp;IF(N_LISTS=3,"",I_S&amp;INDEX(T_L4[],HELP!J394,1)
&amp;IF(N_LISTS=4,"",I_S&amp;INDEX(T_L5[],HELP!K394,1)
&amp;IF(N_LISTS=5,"",I_S&amp;INDEX(T_L6[],HELP!L394,1))))))),"")</f>
        <v/>
      </c>
    </row>
    <row r="399" spans="16:16" x14ac:dyDescent="0.2">
      <c r="P399" s="7" t="str">
        <f ca="1">IFERROR(IF(HELP!$F395&gt;N,"",INDEX(T_L1[],HELP!G395,1)
&amp;IF(N_LISTS=1,"",I_S&amp;INDEX(T_L2[],HELP!H395,1)
&amp;IF(N_LISTS=2,"",I_S&amp;INDEX(T_L3[],HELP!I395,1)
&amp;IF(N_LISTS=3,"",I_S&amp;INDEX(T_L4[],HELP!J395,1)
&amp;IF(N_LISTS=4,"",I_S&amp;INDEX(T_L5[],HELP!K395,1)
&amp;IF(N_LISTS=5,"",I_S&amp;INDEX(T_L6[],HELP!L395,1))))))),"")</f>
        <v/>
      </c>
    </row>
    <row r="400" spans="16:16" x14ac:dyDescent="0.2">
      <c r="P400" s="7" t="str">
        <f ca="1">IFERROR(IF(HELP!$F396&gt;N,"",INDEX(T_L1[],HELP!G396,1)
&amp;IF(N_LISTS=1,"",I_S&amp;INDEX(T_L2[],HELP!H396,1)
&amp;IF(N_LISTS=2,"",I_S&amp;INDEX(T_L3[],HELP!I396,1)
&amp;IF(N_LISTS=3,"",I_S&amp;INDEX(T_L4[],HELP!J396,1)
&amp;IF(N_LISTS=4,"",I_S&amp;INDEX(T_L5[],HELP!K396,1)
&amp;IF(N_LISTS=5,"",I_S&amp;INDEX(T_L6[],HELP!L396,1))))))),"")</f>
        <v/>
      </c>
    </row>
    <row r="401" spans="16:16" x14ac:dyDescent="0.2">
      <c r="P401" s="7" t="str">
        <f ca="1">IFERROR(IF(HELP!$F397&gt;N,"",INDEX(T_L1[],HELP!G397,1)
&amp;IF(N_LISTS=1,"",I_S&amp;INDEX(T_L2[],HELP!H397,1)
&amp;IF(N_LISTS=2,"",I_S&amp;INDEX(T_L3[],HELP!I397,1)
&amp;IF(N_LISTS=3,"",I_S&amp;INDEX(T_L4[],HELP!J397,1)
&amp;IF(N_LISTS=4,"",I_S&amp;INDEX(T_L5[],HELP!K397,1)
&amp;IF(N_LISTS=5,"",I_S&amp;INDEX(T_L6[],HELP!L397,1))))))),"")</f>
        <v/>
      </c>
    </row>
    <row r="402" spans="16:16" x14ac:dyDescent="0.2">
      <c r="P402" s="7" t="str">
        <f ca="1">IFERROR(IF(HELP!$F398&gt;N,"",INDEX(T_L1[],HELP!G398,1)
&amp;IF(N_LISTS=1,"",I_S&amp;INDEX(T_L2[],HELP!H398,1)
&amp;IF(N_LISTS=2,"",I_S&amp;INDEX(T_L3[],HELP!I398,1)
&amp;IF(N_LISTS=3,"",I_S&amp;INDEX(T_L4[],HELP!J398,1)
&amp;IF(N_LISTS=4,"",I_S&amp;INDEX(T_L5[],HELP!K398,1)
&amp;IF(N_LISTS=5,"",I_S&amp;INDEX(T_L6[],HELP!L398,1))))))),"")</f>
        <v/>
      </c>
    </row>
    <row r="403" spans="16:16" x14ac:dyDescent="0.2">
      <c r="P403" s="7" t="str">
        <f ca="1">IFERROR(IF(HELP!$F399&gt;N,"",INDEX(T_L1[],HELP!G399,1)
&amp;IF(N_LISTS=1,"",I_S&amp;INDEX(T_L2[],HELP!H399,1)
&amp;IF(N_LISTS=2,"",I_S&amp;INDEX(T_L3[],HELP!I399,1)
&amp;IF(N_LISTS=3,"",I_S&amp;INDEX(T_L4[],HELP!J399,1)
&amp;IF(N_LISTS=4,"",I_S&amp;INDEX(T_L5[],HELP!K399,1)
&amp;IF(N_LISTS=5,"",I_S&amp;INDEX(T_L6[],HELP!L399,1))))))),"")</f>
        <v/>
      </c>
    </row>
    <row r="404" spans="16:16" x14ac:dyDescent="0.2">
      <c r="P404" s="7" t="str">
        <f ca="1">IFERROR(IF(HELP!$F400&gt;N,"",INDEX(T_L1[],HELP!G400,1)
&amp;IF(N_LISTS=1,"",I_S&amp;INDEX(T_L2[],HELP!H400,1)
&amp;IF(N_LISTS=2,"",I_S&amp;INDEX(T_L3[],HELP!I400,1)
&amp;IF(N_LISTS=3,"",I_S&amp;INDEX(T_L4[],HELP!J400,1)
&amp;IF(N_LISTS=4,"",I_S&amp;INDEX(T_L5[],HELP!K400,1)
&amp;IF(N_LISTS=5,"",I_S&amp;INDEX(T_L6[],HELP!L400,1))))))),"")</f>
        <v/>
      </c>
    </row>
    <row r="405" spans="16:16" x14ac:dyDescent="0.2">
      <c r="P405" s="7" t="str">
        <f ca="1">IFERROR(IF(HELP!$F401&gt;N,"",INDEX(T_L1[],HELP!G401,1)
&amp;IF(N_LISTS=1,"",I_S&amp;INDEX(T_L2[],HELP!H401,1)
&amp;IF(N_LISTS=2,"",I_S&amp;INDEX(T_L3[],HELP!I401,1)
&amp;IF(N_LISTS=3,"",I_S&amp;INDEX(T_L4[],HELP!J401,1)
&amp;IF(N_LISTS=4,"",I_S&amp;INDEX(T_L5[],HELP!K401,1)
&amp;IF(N_LISTS=5,"",I_S&amp;INDEX(T_L6[],HELP!L401,1))))))),"")</f>
        <v/>
      </c>
    </row>
    <row r="406" spans="16:16" x14ac:dyDescent="0.2">
      <c r="P406" s="7" t="str">
        <f ca="1">IFERROR(IF(HELP!$F402&gt;N,"",INDEX(T_L1[],HELP!G402,1)
&amp;IF(N_LISTS=1,"",I_S&amp;INDEX(T_L2[],HELP!H402,1)
&amp;IF(N_LISTS=2,"",I_S&amp;INDEX(T_L3[],HELP!I402,1)
&amp;IF(N_LISTS=3,"",I_S&amp;INDEX(T_L4[],HELP!J402,1)
&amp;IF(N_LISTS=4,"",I_S&amp;INDEX(T_L5[],HELP!K402,1)
&amp;IF(N_LISTS=5,"",I_S&amp;INDEX(T_L6[],HELP!L402,1))))))),"")</f>
        <v/>
      </c>
    </row>
    <row r="407" spans="16:16" x14ac:dyDescent="0.2">
      <c r="P407" s="7" t="str">
        <f ca="1">IFERROR(IF(HELP!$F403&gt;N,"",INDEX(T_L1[],HELP!G403,1)
&amp;IF(N_LISTS=1,"",I_S&amp;INDEX(T_L2[],HELP!H403,1)
&amp;IF(N_LISTS=2,"",I_S&amp;INDEX(T_L3[],HELP!I403,1)
&amp;IF(N_LISTS=3,"",I_S&amp;INDEX(T_L4[],HELP!J403,1)
&amp;IF(N_LISTS=4,"",I_S&amp;INDEX(T_L5[],HELP!K403,1)
&amp;IF(N_LISTS=5,"",I_S&amp;INDEX(T_L6[],HELP!L403,1))))))),"")</f>
        <v/>
      </c>
    </row>
    <row r="408" spans="16:16" x14ac:dyDescent="0.2">
      <c r="P408" s="7" t="str">
        <f ca="1">IFERROR(IF(HELP!$F404&gt;N,"",INDEX(T_L1[],HELP!G404,1)
&amp;IF(N_LISTS=1,"",I_S&amp;INDEX(T_L2[],HELP!H404,1)
&amp;IF(N_LISTS=2,"",I_S&amp;INDEX(T_L3[],HELP!I404,1)
&amp;IF(N_LISTS=3,"",I_S&amp;INDEX(T_L4[],HELP!J404,1)
&amp;IF(N_LISTS=4,"",I_S&amp;INDEX(T_L5[],HELP!K404,1)
&amp;IF(N_LISTS=5,"",I_S&amp;INDEX(T_L6[],HELP!L404,1))))))),"")</f>
        <v/>
      </c>
    </row>
    <row r="409" spans="16:16" x14ac:dyDescent="0.2">
      <c r="P409" s="7" t="str">
        <f ca="1">IFERROR(IF(HELP!$F405&gt;N,"",INDEX(T_L1[],HELP!G405,1)
&amp;IF(N_LISTS=1,"",I_S&amp;INDEX(T_L2[],HELP!H405,1)
&amp;IF(N_LISTS=2,"",I_S&amp;INDEX(T_L3[],HELP!I405,1)
&amp;IF(N_LISTS=3,"",I_S&amp;INDEX(T_L4[],HELP!J405,1)
&amp;IF(N_LISTS=4,"",I_S&amp;INDEX(T_L5[],HELP!K405,1)
&amp;IF(N_LISTS=5,"",I_S&amp;INDEX(T_L6[],HELP!L405,1))))))),"")</f>
        <v/>
      </c>
    </row>
    <row r="410" spans="16:16" x14ac:dyDescent="0.2">
      <c r="P410" s="7" t="str">
        <f ca="1">IFERROR(IF(HELP!$F406&gt;N,"",INDEX(T_L1[],HELP!G406,1)
&amp;IF(N_LISTS=1,"",I_S&amp;INDEX(T_L2[],HELP!H406,1)
&amp;IF(N_LISTS=2,"",I_S&amp;INDEX(T_L3[],HELP!I406,1)
&amp;IF(N_LISTS=3,"",I_S&amp;INDEX(T_L4[],HELP!J406,1)
&amp;IF(N_LISTS=4,"",I_S&amp;INDEX(T_L5[],HELP!K406,1)
&amp;IF(N_LISTS=5,"",I_S&amp;INDEX(T_L6[],HELP!L406,1))))))),"")</f>
        <v/>
      </c>
    </row>
    <row r="411" spans="16:16" x14ac:dyDescent="0.2">
      <c r="P411" s="7" t="str">
        <f ca="1">IFERROR(IF(HELP!$F407&gt;N,"",INDEX(T_L1[],HELP!G407,1)
&amp;IF(N_LISTS=1,"",I_S&amp;INDEX(T_L2[],HELP!H407,1)
&amp;IF(N_LISTS=2,"",I_S&amp;INDEX(T_L3[],HELP!I407,1)
&amp;IF(N_LISTS=3,"",I_S&amp;INDEX(T_L4[],HELP!J407,1)
&amp;IF(N_LISTS=4,"",I_S&amp;INDEX(T_L5[],HELP!K407,1)
&amp;IF(N_LISTS=5,"",I_S&amp;INDEX(T_L6[],HELP!L407,1))))))),"")</f>
        <v/>
      </c>
    </row>
    <row r="412" spans="16:16" x14ac:dyDescent="0.2">
      <c r="P412" s="7" t="str">
        <f ca="1">IFERROR(IF(HELP!$F408&gt;N,"",INDEX(T_L1[],HELP!G408,1)
&amp;IF(N_LISTS=1,"",I_S&amp;INDEX(T_L2[],HELP!H408,1)
&amp;IF(N_LISTS=2,"",I_S&amp;INDEX(T_L3[],HELP!I408,1)
&amp;IF(N_LISTS=3,"",I_S&amp;INDEX(T_L4[],HELP!J408,1)
&amp;IF(N_LISTS=4,"",I_S&amp;INDEX(T_L5[],HELP!K408,1)
&amp;IF(N_LISTS=5,"",I_S&amp;INDEX(T_L6[],HELP!L408,1))))))),"")</f>
        <v/>
      </c>
    </row>
    <row r="413" spans="16:16" x14ac:dyDescent="0.2">
      <c r="P413" s="7" t="str">
        <f ca="1">IFERROR(IF(HELP!$F409&gt;N,"",INDEX(T_L1[],HELP!G409,1)
&amp;IF(N_LISTS=1,"",I_S&amp;INDEX(T_L2[],HELP!H409,1)
&amp;IF(N_LISTS=2,"",I_S&amp;INDEX(T_L3[],HELP!I409,1)
&amp;IF(N_LISTS=3,"",I_S&amp;INDEX(T_L4[],HELP!J409,1)
&amp;IF(N_LISTS=4,"",I_S&amp;INDEX(T_L5[],HELP!K409,1)
&amp;IF(N_LISTS=5,"",I_S&amp;INDEX(T_L6[],HELP!L409,1))))))),"")</f>
        <v/>
      </c>
    </row>
    <row r="414" spans="16:16" x14ac:dyDescent="0.2">
      <c r="P414" s="7" t="str">
        <f ca="1">IFERROR(IF(HELP!$F410&gt;N,"",INDEX(T_L1[],HELP!G410,1)
&amp;IF(N_LISTS=1,"",I_S&amp;INDEX(T_L2[],HELP!H410,1)
&amp;IF(N_LISTS=2,"",I_S&amp;INDEX(T_L3[],HELP!I410,1)
&amp;IF(N_LISTS=3,"",I_S&amp;INDEX(T_L4[],HELP!J410,1)
&amp;IF(N_LISTS=4,"",I_S&amp;INDEX(T_L5[],HELP!K410,1)
&amp;IF(N_LISTS=5,"",I_S&amp;INDEX(T_L6[],HELP!L410,1))))))),"")</f>
        <v/>
      </c>
    </row>
    <row r="415" spans="16:16" x14ac:dyDescent="0.2">
      <c r="P415" s="7" t="str">
        <f ca="1">IFERROR(IF(HELP!$F411&gt;N,"",INDEX(T_L1[],HELP!G411,1)
&amp;IF(N_LISTS=1,"",I_S&amp;INDEX(T_L2[],HELP!H411,1)
&amp;IF(N_LISTS=2,"",I_S&amp;INDEX(T_L3[],HELP!I411,1)
&amp;IF(N_LISTS=3,"",I_S&amp;INDEX(T_L4[],HELP!J411,1)
&amp;IF(N_LISTS=4,"",I_S&amp;INDEX(T_L5[],HELP!K411,1)
&amp;IF(N_LISTS=5,"",I_S&amp;INDEX(T_L6[],HELP!L411,1))))))),"")</f>
        <v/>
      </c>
    </row>
    <row r="416" spans="16:16" x14ac:dyDescent="0.2">
      <c r="P416" s="7" t="str">
        <f ca="1">IFERROR(IF(HELP!$F412&gt;N,"",INDEX(T_L1[],HELP!G412,1)
&amp;IF(N_LISTS=1,"",I_S&amp;INDEX(T_L2[],HELP!H412,1)
&amp;IF(N_LISTS=2,"",I_S&amp;INDEX(T_L3[],HELP!I412,1)
&amp;IF(N_LISTS=3,"",I_S&amp;INDEX(T_L4[],HELP!J412,1)
&amp;IF(N_LISTS=4,"",I_S&amp;INDEX(T_L5[],HELP!K412,1)
&amp;IF(N_LISTS=5,"",I_S&amp;INDEX(T_L6[],HELP!L412,1))))))),"")</f>
        <v/>
      </c>
    </row>
    <row r="417" spans="16:16" x14ac:dyDescent="0.2">
      <c r="P417" s="7" t="str">
        <f ca="1">IFERROR(IF(HELP!$F413&gt;N,"",INDEX(T_L1[],HELP!G413,1)
&amp;IF(N_LISTS=1,"",I_S&amp;INDEX(T_L2[],HELP!H413,1)
&amp;IF(N_LISTS=2,"",I_S&amp;INDEX(T_L3[],HELP!I413,1)
&amp;IF(N_LISTS=3,"",I_S&amp;INDEX(T_L4[],HELP!J413,1)
&amp;IF(N_LISTS=4,"",I_S&amp;INDEX(T_L5[],HELP!K413,1)
&amp;IF(N_LISTS=5,"",I_S&amp;INDEX(T_L6[],HELP!L413,1))))))),"")</f>
        <v/>
      </c>
    </row>
    <row r="418" spans="16:16" x14ac:dyDescent="0.2">
      <c r="P418" s="7" t="str">
        <f ca="1">IFERROR(IF(HELP!$F414&gt;N,"",INDEX(T_L1[],HELP!G414,1)
&amp;IF(N_LISTS=1,"",I_S&amp;INDEX(T_L2[],HELP!H414,1)
&amp;IF(N_LISTS=2,"",I_S&amp;INDEX(T_L3[],HELP!I414,1)
&amp;IF(N_LISTS=3,"",I_S&amp;INDEX(T_L4[],HELP!J414,1)
&amp;IF(N_LISTS=4,"",I_S&amp;INDEX(T_L5[],HELP!K414,1)
&amp;IF(N_LISTS=5,"",I_S&amp;INDEX(T_L6[],HELP!L414,1))))))),"")</f>
        <v/>
      </c>
    </row>
    <row r="419" spans="16:16" x14ac:dyDescent="0.2">
      <c r="P419" s="7" t="str">
        <f ca="1">IFERROR(IF(HELP!$F415&gt;N,"",INDEX(T_L1[],HELP!G415,1)
&amp;IF(N_LISTS=1,"",I_S&amp;INDEX(T_L2[],HELP!H415,1)
&amp;IF(N_LISTS=2,"",I_S&amp;INDEX(T_L3[],HELP!I415,1)
&amp;IF(N_LISTS=3,"",I_S&amp;INDEX(T_L4[],HELP!J415,1)
&amp;IF(N_LISTS=4,"",I_S&amp;INDEX(T_L5[],HELP!K415,1)
&amp;IF(N_LISTS=5,"",I_S&amp;INDEX(T_L6[],HELP!L415,1))))))),"")</f>
        <v/>
      </c>
    </row>
    <row r="420" spans="16:16" x14ac:dyDescent="0.2">
      <c r="P420" s="7" t="str">
        <f ca="1">IFERROR(IF(HELP!$F416&gt;N,"",INDEX(T_L1[],HELP!G416,1)
&amp;IF(N_LISTS=1,"",I_S&amp;INDEX(T_L2[],HELP!H416,1)
&amp;IF(N_LISTS=2,"",I_S&amp;INDEX(T_L3[],HELP!I416,1)
&amp;IF(N_LISTS=3,"",I_S&amp;INDEX(T_L4[],HELP!J416,1)
&amp;IF(N_LISTS=4,"",I_S&amp;INDEX(T_L5[],HELP!K416,1)
&amp;IF(N_LISTS=5,"",I_S&amp;INDEX(T_L6[],HELP!L416,1))))))),"")</f>
        <v/>
      </c>
    </row>
    <row r="421" spans="16:16" x14ac:dyDescent="0.2">
      <c r="P421" s="7" t="str">
        <f ca="1">IFERROR(IF(HELP!$F417&gt;N,"",INDEX(T_L1[],HELP!G417,1)
&amp;IF(N_LISTS=1,"",I_S&amp;INDEX(T_L2[],HELP!H417,1)
&amp;IF(N_LISTS=2,"",I_S&amp;INDEX(T_L3[],HELP!I417,1)
&amp;IF(N_LISTS=3,"",I_S&amp;INDEX(T_L4[],HELP!J417,1)
&amp;IF(N_LISTS=4,"",I_S&amp;INDEX(T_L5[],HELP!K417,1)
&amp;IF(N_LISTS=5,"",I_S&amp;INDEX(T_L6[],HELP!L417,1))))))),"")</f>
        <v/>
      </c>
    </row>
    <row r="422" spans="16:16" x14ac:dyDescent="0.2">
      <c r="P422" s="7" t="str">
        <f ca="1">IFERROR(IF(HELP!$F418&gt;N,"",INDEX(T_L1[],HELP!G418,1)
&amp;IF(N_LISTS=1,"",I_S&amp;INDEX(T_L2[],HELP!H418,1)
&amp;IF(N_LISTS=2,"",I_S&amp;INDEX(T_L3[],HELP!I418,1)
&amp;IF(N_LISTS=3,"",I_S&amp;INDEX(T_L4[],HELP!J418,1)
&amp;IF(N_LISTS=4,"",I_S&amp;INDEX(T_L5[],HELP!K418,1)
&amp;IF(N_LISTS=5,"",I_S&amp;INDEX(T_L6[],HELP!L418,1))))))),"")</f>
        <v/>
      </c>
    </row>
    <row r="423" spans="16:16" x14ac:dyDescent="0.2">
      <c r="P423" s="7" t="str">
        <f ca="1">IFERROR(IF(HELP!$F419&gt;N,"",INDEX(T_L1[],HELP!G419,1)
&amp;IF(N_LISTS=1,"",I_S&amp;INDEX(T_L2[],HELP!H419,1)
&amp;IF(N_LISTS=2,"",I_S&amp;INDEX(T_L3[],HELP!I419,1)
&amp;IF(N_LISTS=3,"",I_S&amp;INDEX(T_L4[],HELP!J419,1)
&amp;IF(N_LISTS=4,"",I_S&amp;INDEX(T_L5[],HELP!K419,1)
&amp;IF(N_LISTS=5,"",I_S&amp;INDEX(T_L6[],HELP!L419,1))))))),"")</f>
        <v/>
      </c>
    </row>
    <row r="424" spans="16:16" x14ac:dyDescent="0.2">
      <c r="P424" s="7" t="str">
        <f ca="1">IFERROR(IF(HELP!$F420&gt;N,"",INDEX(T_L1[],HELP!G420,1)
&amp;IF(N_LISTS=1,"",I_S&amp;INDEX(T_L2[],HELP!H420,1)
&amp;IF(N_LISTS=2,"",I_S&amp;INDEX(T_L3[],HELP!I420,1)
&amp;IF(N_LISTS=3,"",I_S&amp;INDEX(T_L4[],HELP!J420,1)
&amp;IF(N_LISTS=4,"",I_S&amp;INDEX(T_L5[],HELP!K420,1)
&amp;IF(N_LISTS=5,"",I_S&amp;INDEX(T_L6[],HELP!L420,1))))))),"")</f>
        <v/>
      </c>
    </row>
    <row r="425" spans="16:16" x14ac:dyDescent="0.2">
      <c r="P425" s="7" t="str">
        <f ca="1">IFERROR(IF(HELP!$F421&gt;N,"",INDEX(T_L1[],HELP!G421,1)
&amp;IF(N_LISTS=1,"",I_S&amp;INDEX(T_L2[],HELP!H421,1)
&amp;IF(N_LISTS=2,"",I_S&amp;INDEX(T_L3[],HELP!I421,1)
&amp;IF(N_LISTS=3,"",I_S&amp;INDEX(T_L4[],HELP!J421,1)
&amp;IF(N_LISTS=4,"",I_S&amp;INDEX(T_L5[],HELP!K421,1)
&amp;IF(N_LISTS=5,"",I_S&amp;INDEX(T_L6[],HELP!L421,1))))))),"")</f>
        <v/>
      </c>
    </row>
    <row r="426" spans="16:16" x14ac:dyDescent="0.2">
      <c r="P426" s="7" t="str">
        <f ca="1">IFERROR(IF(HELP!$F422&gt;N,"",INDEX(T_L1[],HELP!G422,1)
&amp;IF(N_LISTS=1,"",I_S&amp;INDEX(T_L2[],HELP!H422,1)
&amp;IF(N_LISTS=2,"",I_S&amp;INDEX(T_L3[],HELP!I422,1)
&amp;IF(N_LISTS=3,"",I_S&amp;INDEX(T_L4[],HELP!J422,1)
&amp;IF(N_LISTS=4,"",I_S&amp;INDEX(T_L5[],HELP!K422,1)
&amp;IF(N_LISTS=5,"",I_S&amp;INDEX(T_L6[],HELP!L422,1))))))),"")</f>
        <v/>
      </c>
    </row>
    <row r="427" spans="16:16" x14ac:dyDescent="0.2">
      <c r="P427" s="7" t="str">
        <f ca="1">IFERROR(IF(HELP!$F423&gt;N,"",INDEX(T_L1[],HELP!G423,1)
&amp;IF(N_LISTS=1,"",I_S&amp;INDEX(T_L2[],HELP!H423,1)
&amp;IF(N_LISTS=2,"",I_S&amp;INDEX(T_L3[],HELP!I423,1)
&amp;IF(N_LISTS=3,"",I_S&amp;INDEX(T_L4[],HELP!J423,1)
&amp;IF(N_LISTS=4,"",I_S&amp;INDEX(T_L5[],HELP!K423,1)
&amp;IF(N_LISTS=5,"",I_S&amp;INDEX(T_L6[],HELP!L423,1))))))),"")</f>
        <v/>
      </c>
    </row>
    <row r="428" spans="16:16" x14ac:dyDescent="0.2">
      <c r="P428" s="7" t="str">
        <f ca="1">IFERROR(IF(HELP!$F424&gt;N,"",INDEX(T_L1[],HELP!G424,1)
&amp;IF(N_LISTS=1,"",I_S&amp;INDEX(T_L2[],HELP!H424,1)
&amp;IF(N_LISTS=2,"",I_S&amp;INDEX(T_L3[],HELP!I424,1)
&amp;IF(N_LISTS=3,"",I_S&amp;INDEX(T_L4[],HELP!J424,1)
&amp;IF(N_LISTS=4,"",I_S&amp;INDEX(T_L5[],HELP!K424,1)
&amp;IF(N_LISTS=5,"",I_S&amp;INDEX(T_L6[],HELP!L424,1))))))),"")</f>
        <v/>
      </c>
    </row>
    <row r="429" spans="16:16" x14ac:dyDescent="0.2">
      <c r="P429" s="7" t="str">
        <f ca="1">IFERROR(IF(HELP!$F425&gt;N,"",INDEX(T_L1[],HELP!G425,1)
&amp;IF(N_LISTS=1,"",I_S&amp;INDEX(T_L2[],HELP!H425,1)
&amp;IF(N_LISTS=2,"",I_S&amp;INDEX(T_L3[],HELP!I425,1)
&amp;IF(N_LISTS=3,"",I_S&amp;INDEX(T_L4[],HELP!J425,1)
&amp;IF(N_LISTS=4,"",I_S&amp;INDEX(T_L5[],HELP!K425,1)
&amp;IF(N_LISTS=5,"",I_S&amp;INDEX(T_L6[],HELP!L425,1))))))),"")</f>
        <v/>
      </c>
    </row>
    <row r="430" spans="16:16" x14ac:dyDescent="0.2">
      <c r="P430" s="7" t="str">
        <f ca="1">IFERROR(IF(HELP!$F426&gt;N,"",INDEX(T_L1[],HELP!G426,1)
&amp;IF(N_LISTS=1,"",I_S&amp;INDEX(T_L2[],HELP!H426,1)
&amp;IF(N_LISTS=2,"",I_S&amp;INDEX(T_L3[],HELP!I426,1)
&amp;IF(N_LISTS=3,"",I_S&amp;INDEX(T_L4[],HELP!J426,1)
&amp;IF(N_LISTS=4,"",I_S&amp;INDEX(T_L5[],HELP!K426,1)
&amp;IF(N_LISTS=5,"",I_S&amp;INDEX(T_L6[],HELP!L426,1))))))),"")</f>
        <v/>
      </c>
    </row>
    <row r="431" spans="16:16" x14ac:dyDescent="0.2">
      <c r="P431" s="7" t="str">
        <f ca="1">IFERROR(IF(HELP!$F427&gt;N,"",INDEX(T_L1[],HELP!G427,1)
&amp;IF(N_LISTS=1,"",I_S&amp;INDEX(T_L2[],HELP!H427,1)
&amp;IF(N_LISTS=2,"",I_S&amp;INDEX(T_L3[],HELP!I427,1)
&amp;IF(N_LISTS=3,"",I_S&amp;INDEX(T_L4[],HELP!J427,1)
&amp;IF(N_LISTS=4,"",I_S&amp;INDEX(T_L5[],HELP!K427,1)
&amp;IF(N_LISTS=5,"",I_S&amp;INDEX(T_L6[],HELP!L427,1))))))),"")</f>
        <v/>
      </c>
    </row>
    <row r="432" spans="16:16" x14ac:dyDescent="0.2">
      <c r="P432" s="7" t="str">
        <f ca="1">IFERROR(IF(HELP!$F428&gt;N,"",INDEX(T_L1[],HELP!G428,1)
&amp;IF(N_LISTS=1,"",I_S&amp;INDEX(T_L2[],HELP!H428,1)
&amp;IF(N_LISTS=2,"",I_S&amp;INDEX(T_L3[],HELP!I428,1)
&amp;IF(N_LISTS=3,"",I_S&amp;INDEX(T_L4[],HELP!J428,1)
&amp;IF(N_LISTS=4,"",I_S&amp;INDEX(T_L5[],HELP!K428,1)
&amp;IF(N_LISTS=5,"",I_S&amp;INDEX(T_L6[],HELP!L428,1))))))),"")</f>
        <v/>
      </c>
    </row>
    <row r="433" spans="16:16" x14ac:dyDescent="0.2">
      <c r="P433" s="7" t="str">
        <f ca="1">IFERROR(IF(HELP!$F429&gt;N,"",INDEX(T_L1[],HELP!G429,1)
&amp;IF(N_LISTS=1,"",I_S&amp;INDEX(T_L2[],HELP!H429,1)
&amp;IF(N_LISTS=2,"",I_S&amp;INDEX(T_L3[],HELP!I429,1)
&amp;IF(N_LISTS=3,"",I_S&amp;INDEX(T_L4[],HELP!J429,1)
&amp;IF(N_LISTS=4,"",I_S&amp;INDEX(T_L5[],HELP!K429,1)
&amp;IF(N_LISTS=5,"",I_S&amp;INDEX(T_L6[],HELP!L429,1))))))),"")</f>
        <v/>
      </c>
    </row>
    <row r="434" spans="16:16" x14ac:dyDescent="0.2">
      <c r="P434" s="7" t="str">
        <f ca="1">IFERROR(IF(HELP!$F430&gt;N,"",INDEX(T_L1[],HELP!G430,1)
&amp;IF(N_LISTS=1,"",I_S&amp;INDEX(T_L2[],HELP!H430,1)
&amp;IF(N_LISTS=2,"",I_S&amp;INDEX(T_L3[],HELP!I430,1)
&amp;IF(N_LISTS=3,"",I_S&amp;INDEX(T_L4[],HELP!J430,1)
&amp;IF(N_LISTS=4,"",I_S&amp;INDEX(T_L5[],HELP!K430,1)
&amp;IF(N_LISTS=5,"",I_S&amp;INDEX(T_L6[],HELP!L430,1))))))),"")</f>
        <v/>
      </c>
    </row>
    <row r="435" spans="16:16" x14ac:dyDescent="0.2">
      <c r="P435" s="7" t="str">
        <f ca="1">IFERROR(IF(HELP!$F431&gt;N,"",INDEX(T_L1[],HELP!G431,1)
&amp;IF(N_LISTS=1,"",I_S&amp;INDEX(T_L2[],HELP!H431,1)
&amp;IF(N_LISTS=2,"",I_S&amp;INDEX(T_L3[],HELP!I431,1)
&amp;IF(N_LISTS=3,"",I_S&amp;INDEX(T_L4[],HELP!J431,1)
&amp;IF(N_LISTS=4,"",I_S&amp;INDEX(T_L5[],HELP!K431,1)
&amp;IF(N_LISTS=5,"",I_S&amp;INDEX(T_L6[],HELP!L431,1))))))),"")</f>
        <v/>
      </c>
    </row>
    <row r="436" spans="16:16" x14ac:dyDescent="0.2">
      <c r="P436" s="7" t="str">
        <f ca="1">IFERROR(IF(HELP!$F432&gt;N,"",INDEX(T_L1[],HELP!G432,1)
&amp;IF(N_LISTS=1,"",I_S&amp;INDEX(T_L2[],HELP!H432,1)
&amp;IF(N_LISTS=2,"",I_S&amp;INDEX(T_L3[],HELP!I432,1)
&amp;IF(N_LISTS=3,"",I_S&amp;INDEX(T_L4[],HELP!J432,1)
&amp;IF(N_LISTS=4,"",I_S&amp;INDEX(T_L5[],HELP!K432,1)
&amp;IF(N_LISTS=5,"",I_S&amp;INDEX(T_L6[],HELP!L432,1))))))),"")</f>
        <v/>
      </c>
    </row>
    <row r="437" spans="16:16" x14ac:dyDescent="0.2">
      <c r="P437" s="7" t="str">
        <f ca="1">IFERROR(IF(HELP!$F433&gt;N,"",INDEX(T_L1[],HELP!G433,1)
&amp;IF(N_LISTS=1,"",I_S&amp;INDEX(T_L2[],HELP!H433,1)
&amp;IF(N_LISTS=2,"",I_S&amp;INDEX(T_L3[],HELP!I433,1)
&amp;IF(N_LISTS=3,"",I_S&amp;INDEX(T_L4[],HELP!J433,1)
&amp;IF(N_LISTS=4,"",I_S&amp;INDEX(T_L5[],HELP!K433,1)
&amp;IF(N_LISTS=5,"",I_S&amp;INDEX(T_L6[],HELP!L433,1))))))),"")</f>
        <v/>
      </c>
    </row>
    <row r="438" spans="16:16" x14ac:dyDescent="0.2">
      <c r="P438" s="7" t="str">
        <f ca="1">IFERROR(IF(HELP!$F434&gt;N,"",INDEX(T_L1[],HELP!G434,1)
&amp;IF(N_LISTS=1,"",I_S&amp;INDEX(T_L2[],HELP!H434,1)
&amp;IF(N_LISTS=2,"",I_S&amp;INDEX(T_L3[],HELP!I434,1)
&amp;IF(N_LISTS=3,"",I_S&amp;INDEX(T_L4[],HELP!J434,1)
&amp;IF(N_LISTS=4,"",I_S&amp;INDEX(T_L5[],HELP!K434,1)
&amp;IF(N_LISTS=5,"",I_S&amp;INDEX(T_L6[],HELP!L434,1))))))),"")</f>
        <v/>
      </c>
    </row>
    <row r="439" spans="16:16" x14ac:dyDescent="0.2">
      <c r="P439" s="7" t="str">
        <f ca="1">IFERROR(IF(HELP!$F435&gt;N,"",INDEX(T_L1[],HELP!G435,1)
&amp;IF(N_LISTS=1,"",I_S&amp;INDEX(T_L2[],HELP!H435,1)
&amp;IF(N_LISTS=2,"",I_S&amp;INDEX(T_L3[],HELP!I435,1)
&amp;IF(N_LISTS=3,"",I_S&amp;INDEX(T_L4[],HELP!J435,1)
&amp;IF(N_LISTS=4,"",I_S&amp;INDEX(T_L5[],HELP!K435,1)
&amp;IF(N_LISTS=5,"",I_S&amp;INDEX(T_L6[],HELP!L435,1))))))),"")</f>
        <v/>
      </c>
    </row>
    <row r="440" spans="16:16" x14ac:dyDescent="0.2">
      <c r="P440" s="7" t="str">
        <f ca="1">IFERROR(IF(HELP!$F436&gt;N,"",INDEX(T_L1[],HELP!G436,1)
&amp;IF(N_LISTS=1,"",I_S&amp;INDEX(T_L2[],HELP!H436,1)
&amp;IF(N_LISTS=2,"",I_S&amp;INDEX(T_L3[],HELP!I436,1)
&amp;IF(N_LISTS=3,"",I_S&amp;INDEX(T_L4[],HELP!J436,1)
&amp;IF(N_LISTS=4,"",I_S&amp;INDEX(T_L5[],HELP!K436,1)
&amp;IF(N_LISTS=5,"",I_S&amp;INDEX(T_L6[],HELP!L436,1))))))),"")</f>
        <v/>
      </c>
    </row>
    <row r="441" spans="16:16" x14ac:dyDescent="0.2">
      <c r="P441" s="7" t="str">
        <f ca="1">IFERROR(IF(HELP!$F437&gt;N,"",INDEX(T_L1[],HELP!G437,1)
&amp;IF(N_LISTS=1,"",I_S&amp;INDEX(T_L2[],HELP!H437,1)
&amp;IF(N_LISTS=2,"",I_S&amp;INDEX(T_L3[],HELP!I437,1)
&amp;IF(N_LISTS=3,"",I_S&amp;INDEX(T_L4[],HELP!J437,1)
&amp;IF(N_LISTS=4,"",I_S&amp;INDEX(T_L5[],HELP!K437,1)
&amp;IF(N_LISTS=5,"",I_S&amp;INDEX(T_L6[],HELP!L437,1))))))),"")</f>
        <v/>
      </c>
    </row>
    <row r="442" spans="16:16" x14ac:dyDescent="0.2">
      <c r="P442" s="7" t="str">
        <f ca="1">IFERROR(IF(HELP!$F438&gt;N,"",INDEX(T_L1[],HELP!G438,1)
&amp;IF(N_LISTS=1,"",I_S&amp;INDEX(T_L2[],HELP!H438,1)
&amp;IF(N_LISTS=2,"",I_S&amp;INDEX(T_L3[],HELP!I438,1)
&amp;IF(N_LISTS=3,"",I_S&amp;INDEX(T_L4[],HELP!J438,1)
&amp;IF(N_LISTS=4,"",I_S&amp;INDEX(T_L5[],HELP!K438,1)
&amp;IF(N_LISTS=5,"",I_S&amp;INDEX(T_L6[],HELP!L438,1))))))),"")</f>
        <v/>
      </c>
    </row>
    <row r="443" spans="16:16" x14ac:dyDescent="0.2">
      <c r="P443" s="7" t="str">
        <f ca="1">IFERROR(IF(HELP!$F439&gt;N,"",INDEX(T_L1[],HELP!G439,1)
&amp;IF(N_LISTS=1,"",I_S&amp;INDEX(T_L2[],HELP!H439,1)
&amp;IF(N_LISTS=2,"",I_S&amp;INDEX(T_L3[],HELP!I439,1)
&amp;IF(N_LISTS=3,"",I_S&amp;INDEX(T_L4[],HELP!J439,1)
&amp;IF(N_LISTS=4,"",I_S&amp;INDEX(T_L5[],HELP!K439,1)
&amp;IF(N_LISTS=5,"",I_S&amp;INDEX(T_L6[],HELP!L439,1))))))),"")</f>
        <v/>
      </c>
    </row>
    <row r="444" spans="16:16" x14ac:dyDescent="0.2">
      <c r="P444" s="7" t="str">
        <f ca="1">IFERROR(IF(HELP!$F440&gt;N,"",INDEX(T_L1[],HELP!G440,1)
&amp;IF(N_LISTS=1,"",I_S&amp;INDEX(T_L2[],HELP!H440,1)
&amp;IF(N_LISTS=2,"",I_S&amp;INDEX(T_L3[],HELP!I440,1)
&amp;IF(N_LISTS=3,"",I_S&amp;INDEX(T_L4[],HELP!J440,1)
&amp;IF(N_LISTS=4,"",I_S&amp;INDEX(T_L5[],HELP!K440,1)
&amp;IF(N_LISTS=5,"",I_S&amp;INDEX(T_L6[],HELP!L440,1))))))),"")</f>
        <v/>
      </c>
    </row>
    <row r="445" spans="16:16" x14ac:dyDescent="0.2">
      <c r="P445" s="7" t="str">
        <f ca="1">IFERROR(IF(HELP!$F441&gt;N,"",INDEX(T_L1[],HELP!G441,1)
&amp;IF(N_LISTS=1,"",I_S&amp;INDEX(T_L2[],HELP!H441,1)
&amp;IF(N_LISTS=2,"",I_S&amp;INDEX(T_L3[],HELP!I441,1)
&amp;IF(N_LISTS=3,"",I_S&amp;INDEX(T_L4[],HELP!J441,1)
&amp;IF(N_LISTS=4,"",I_S&amp;INDEX(T_L5[],HELP!K441,1)
&amp;IF(N_LISTS=5,"",I_S&amp;INDEX(T_L6[],HELP!L441,1))))))),"")</f>
        <v/>
      </c>
    </row>
    <row r="446" spans="16:16" x14ac:dyDescent="0.2">
      <c r="P446" s="7" t="str">
        <f ca="1">IFERROR(IF(HELP!$F442&gt;N,"",INDEX(T_L1[],HELP!G442,1)
&amp;IF(N_LISTS=1,"",I_S&amp;INDEX(T_L2[],HELP!H442,1)
&amp;IF(N_LISTS=2,"",I_S&amp;INDEX(T_L3[],HELP!I442,1)
&amp;IF(N_LISTS=3,"",I_S&amp;INDEX(T_L4[],HELP!J442,1)
&amp;IF(N_LISTS=4,"",I_S&amp;INDEX(T_L5[],HELP!K442,1)
&amp;IF(N_LISTS=5,"",I_S&amp;INDEX(T_L6[],HELP!L442,1))))))),"")</f>
        <v/>
      </c>
    </row>
    <row r="447" spans="16:16" x14ac:dyDescent="0.2">
      <c r="P447" s="7" t="str">
        <f ca="1">IFERROR(IF(HELP!$F443&gt;N,"",INDEX(T_L1[],HELP!G443,1)
&amp;IF(N_LISTS=1,"",I_S&amp;INDEX(T_L2[],HELP!H443,1)
&amp;IF(N_LISTS=2,"",I_S&amp;INDEX(T_L3[],HELP!I443,1)
&amp;IF(N_LISTS=3,"",I_S&amp;INDEX(T_L4[],HELP!J443,1)
&amp;IF(N_LISTS=4,"",I_S&amp;INDEX(T_L5[],HELP!K443,1)
&amp;IF(N_LISTS=5,"",I_S&amp;INDEX(T_L6[],HELP!L443,1))))))),"")</f>
        <v/>
      </c>
    </row>
    <row r="448" spans="16:16" x14ac:dyDescent="0.2">
      <c r="P448" s="7" t="str">
        <f ca="1">IFERROR(IF(HELP!$F444&gt;N,"",INDEX(T_L1[],HELP!G444,1)
&amp;IF(N_LISTS=1,"",I_S&amp;INDEX(T_L2[],HELP!H444,1)
&amp;IF(N_LISTS=2,"",I_S&amp;INDEX(T_L3[],HELP!I444,1)
&amp;IF(N_LISTS=3,"",I_S&amp;INDEX(T_L4[],HELP!J444,1)
&amp;IF(N_LISTS=4,"",I_S&amp;INDEX(T_L5[],HELP!K444,1)
&amp;IF(N_LISTS=5,"",I_S&amp;INDEX(T_L6[],HELP!L444,1))))))),"")</f>
        <v/>
      </c>
    </row>
    <row r="449" spans="16:16" x14ac:dyDescent="0.2">
      <c r="P449" s="7" t="str">
        <f ca="1">IFERROR(IF(HELP!$F445&gt;N,"",INDEX(T_L1[],HELP!G445,1)
&amp;IF(N_LISTS=1,"",I_S&amp;INDEX(T_L2[],HELP!H445,1)
&amp;IF(N_LISTS=2,"",I_S&amp;INDEX(T_L3[],HELP!I445,1)
&amp;IF(N_LISTS=3,"",I_S&amp;INDEX(T_L4[],HELP!J445,1)
&amp;IF(N_LISTS=4,"",I_S&amp;INDEX(T_L5[],HELP!K445,1)
&amp;IF(N_LISTS=5,"",I_S&amp;INDEX(T_L6[],HELP!L445,1))))))),"")</f>
        <v/>
      </c>
    </row>
    <row r="450" spans="16:16" x14ac:dyDescent="0.2">
      <c r="P450" s="7" t="str">
        <f ca="1">IFERROR(IF(HELP!$F446&gt;N,"",INDEX(T_L1[],HELP!G446,1)
&amp;IF(N_LISTS=1,"",I_S&amp;INDEX(T_L2[],HELP!H446,1)
&amp;IF(N_LISTS=2,"",I_S&amp;INDEX(T_L3[],HELP!I446,1)
&amp;IF(N_LISTS=3,"",I_S&amp;INDEX(T_L4[],HELP!J446,1)
&amp;IF(N_LISTS=4,"",I_S&amp;INDEX(T_L5[],HELP!K446,1)
&amp;IF(N_LISTS=5,"",I_S&amp;INDEX(T_L6[],HELP!L446,1))))))),"")</f>
        <v/>
      </c>
    </row>
    <row r="451" spans="16:16" x14ac:dyDescent="0.2">
      <c r="P451" s="7" t="str">
        <f ca="1">IFERROR(IF(HELP!$F447&gt;N,"",INDEX(T_L1[],HELP!G447,1)
&amp;IF(N_LISTS=1,"",I_S&amp;INDEX(T_L2[],HELP!H447,1)
&amp;IF(N_LISTS=2,"",I_S&amp;INDEX(T_L3[],HELP!I447,1)
&amp;IF(N_LISTS=3,"",I_S&amp;INDEX(T_L4[],HELP!J447,1)
&amp;IF(N_LISTS=4,"",I_S&amp;INDEX(T_L5[],HELP!K447,1)
&amp;IF(N_LISTS=5,"",I_S&amp;INDEX(T_L6[],HELP!L447,1))))))),"")</f>
        <v/>
      </c>
    </row>
    <row r="452" spans="16:16" x14ac:dyDescent="0.2">
      <c r="P452" s="7" t="str">
        <f ca="1">IFERROR(IF(HELP!$F448&gt;N,"",INDEX(T_L1[],HELP!G448,1)
&amp;IF(N_LISTS=1,"",I_S&amp;INDEX(T_L2[],HELP!H448,1)
&amp;IF(N_LISTS=2,"",I_S&amp;INDEX(T_L3[],HELP!I448,1)
&amp;IF(N_LISTS=3,"",I_S&amp;INDEX(T_L4[],HELP!J448,1)
&amp;IF(N_LISTS=4,"",I_S&amp;INDEX(T_L5[],HELP!K448,1)
&amp;IF(N_LISTS=5,"",I_S&amp;INDEX(T_L6[],HELP!L448,1))))))),"")</f>
        <v/>
      </c>
    </row>
    <row r="453" spans="16:16" x14ac:dyDescent="0.2">
      <c r="P453" s="7" t="str">
        <f ca="1">IFERROR(IF(HELP!$F449&gt;N,"",INDEX(T_L1[],HELP!G449,1)
&amp;IF(N_LISTS=1,"",I_S&amp;INDEX(T_L2[],HELP!H449,1)
&amp;IF(N_LISTS=2,"",I_S&amp;INDEX(T_L3[],HELP!I449,1)
&amp;IF(N_LISTS=3,"",I_S&amp;INDEX(T_L4[],HELP!J449,1)
&amp;IF(N_LISTS=4,"",I_S&amp;INDEX(T_L5[],HELP!K449,1)
&amp;IF(N_LISTS=5,"",I_S&amp;INDEX(T_L6[],HELP!L449,1))))))),"")</f>
        <v/>
      </c>
    </row>
    <row r="454" spans="16:16" x14ac:dyDescent="0.2">
      <c r="P454" s="7" t="str">
        <f ca="1">IFERROR(IF(HELP!$F450&gt;N,"",INDEX(T_L1[],HELP!G450,1)
&amp;IF(N_LISTS=1,"",I_S&amp;INDEX(T_L2[],HELP!H450,1)
&amp;IF(N_LISTS=2,"",I_S&amp;INDEX(T_L3[],HELP!I450,1)
&amp;IF(N_LISTS=3,"",I_S&amp;INDEX(T_L4[],HELP!J450,1)
&amp;IF(N_LISTS=4,"",I_S&amp;INDEX(T_L5[],HELP!K450,1)
&amp;IF(N_LISTS=5,"",I_S&amp;INDEX(T_L6[],HELP!L450,1))))))),"")</f>
        <v/>
      </c>
    </row>
    <row r="455" spans="16:16" x14ac:dyDescent="0.2">
      <c r="P455" s="7" t="str">
        <f ca="1">IFERROR(IF(HELP!$F451&gt;N,"",INDEX(T_L1[],HELP!G451,1)
&amp;IF(N_LISTS=1,"",I_S&amp;INDEX(T_L2[],HELP!H451,1)
&amp;IF(N_LISTS=2,"",I_S&amp;INDEX(T_L3[],HELP!I451,1)
&amp;IF(N_LISTS=3,"",I_S&amp;INDEX(T_L4[],HELP!J451,1)
&amp;IF(N_LISTS=4,"",I_S&amp;INDEX(T_L5[],HELP!K451,1)
&amp;IF(N_LISTS=5,"",I_S&amp;INDEX(T_L6[],HELP!L451,1))))))),"")</f>
        <v/>
      </c>
    </row>
    <row r="456" spans="16:16" x14ac:dyDescent="0.2">
      <c r="P456" s="7" t="str">
        <f ca="1">IFERROR(IF(HELP!$F452&gt;N,"",INDEX(T_L1[],HELP!G452,1)
&amp;IF(N_LISTS=1,"",I_S&amp;INDEX(T_L2[],HELP!H452,1)
&amp;IF(N_LISTS=2,"",I_S&amp;INDEX(T_L3[],HELP!I452,1)
&amp;IF(N_LISTS=3,"",I_S&amp;INDEX(T_L4[],HELP!J452,1)
&amp;IF(N_LISTS=4,"",I_S&amp;INDEX(T_L5[],HELP!K452,1)
&amp;IF(N_LISTS=5,"",I_S&amp;INDEX(T_L6[],HELP!L452,1))))))),"")</f>
        <v/>
      </c>
    </row>
    <row r="457" spans="16:16" x14ac:dyDescent="0.2">
      <c r="P457" s="7" t="str">
        <f ca="1">IFERROR(IF(HELP!$F453&gt;N,"",INDEX(T_L1[],HELP!G453,1)
&amp;IF(N_LISTS=1,"",I_S&amp;INDEX(T_L2[],HELP!H453,1)
&amp;IF(N_LISTS=2,"",I_S&amp;INDEX(T_L3[],HELP!I453,1)
&amp;IF(N_LISTS=3,"",I_S&amp;INDEX(T_L4[],HELP!J453,1)
&amp;IF(N_LISTS=4,"",I_S&amp;INDEX(T_L5[],HELP!K453,1)
&amp;IF(N_LISTS=5,"",I_S&amp;INDEX(T_L6[],HELP!L453,1))))))),"")</f>
        <v/>
      </c>
    </row>
    <row r="458" spans="16:16" x14ac:dyDescent="0.2">
      <c r="P458" s="7" t="str">
        <f ca="1">IFERROR(IF(HELP!$F454&gt;N,"",INDEX(T_L1[],HELP!G454,1)
&amp;IF(N_LISTS=1,"",I_S&amp;INDEX(T_L2[],HELP!H454,1)
&amp;IF(N_LISTS=2,"",I_S&amp;INDEX(T_L3[],HELP!I454,1)
&amp;IF(N_LISTS=3,"",I_S&amp;INDEX(T_L4[],HELP!J454,1)
&amp;IF(N_LISTS=4,"",I_S&amp;INDEX(T_L5[],HELP!K454,1)
&amp;IF(N_LISTS=5,"",I_S&amp;INDEX(T_L6[],HELP!L454,1))))))),"")</f>
        <v/>
      </c>
    </row>
    <row r="459" spans="16:16" x14ac:dyDescent="0.2">
      <c r="P459" s="7" t="str">
        <f ca="1">IFERROR(IF(HELP!$F455&gt;N,"",INDEX(T_L1[],HELP!G455,1)
&amp;IF(N_LISTS=1,"",I_S&amp;INDEX(T_L2[],HELP!H455,1)
&amp;IF(N_LISTS=2,"",I_S&amp;INDEX(T_L3[],HELP!I455,1)
&amp;IF(N_LISTS=3,"",I_S&amp;INDEX(T_L4[],HELP!J455,1)
&amp;IF(N_LISTS=4,"",I_S&amp;INDEX(T_L5[],HELP!K455,1)
&amp;IF(N_LISTS=5,"",I_S&amp;INDEX(T_L6[],HELP!L455,1))))))),"")</f>
        <v/>
      </c>
    </row>
    <row r="460" spans="16:16" x14ac:dyDescent="0.2">
      <c r="P460" s="7" t="str">
        <f ca="1">IFERROR(IF(HELP!$F456&gt;N,"",INDEX(T_L1[],HELP!G456,1)
&amp;IF(N_LISTS=1,"",I_S&amp;INDEX(T_L2[],HELP!H456,1)
&amp;IF(N_LISTS=2,"",I_S&amp;INDEX(T_L3[],HELP!I456,1)
&amp;IF(N_LISTS=3,"",I_S&amp;INDEX(T_L4[],HELP!J456,1)
&amp;IF(N_LISTS=4,"",I_S&amp;INDEX(T_L5[],HELP!K456,1)
&amp;IF(N_LISTS=5,"",I_S&amp;INDEX(T_L6[],HELP!L456,1))))))),"")</f>
        <v/>
      </c>
    </row>
    <row r="461" spans="16:16" x14ac:dyDescent="0.2">
      <c r="P461" s="7" t="str">
        <f ca="1">IFERROR(IF(HELP!$F457&gt;N,"",INDEX(T_L1[],HELP!G457,1)
&amp;IF(N_LISTS=1,"",I_S&amp;INDEX(T_L2[],HELP!H457,1)
&amp;IF(N_LISTS=2,"",I_S&amp;INDEX(T_L3[],HELP!I457,1)
&amp;IF(N_LISTS=3,"",I_S&amp;INDEX(T_L4[],HELP!J457,1)
&amp;IF(N_LISTS=4,"",I_S&amp;INDEX(T_L5[],HELP!K457,1)
&amp;IF(N_LISTS=5,"",I_S&amp;INDEX(T_L6[],HELP!L457,1))))))),"")</f>
        <v/>
      </c>
    </row>
    <row r="462" spans="16:16" x14ac:dyDescent="0.2">
      <c r="P462" s="7" t="str">
        <f ca="1">IFERROR(IF(HELP!$F458&gt;N,"",INDEX(T_L1[],HELP!G458,1)
&amp;IF(N_LISTS=1,"",I_S&amp;INDEX(T_L2[],HELP!H458,1)
&amp;IF(N_LISTS=2,"",I_S&amp;INDEX(T_L3[],HELP!I458,1)
&amp;IF(N_LISTS=3,"",I_S&amp;INDEX(T_L4[],HELP!J458,1)
&amp;IF(N_LISTS=4,"",I_S&amp;INDEX(T_L5[],HELP!K458,1)
&amp;IF(N_LISTS=5,"",I_S&amp;INDEX(T_L6[],HELP!L458,1))))))),"")</f>
        <v/>
      </c>
    </row>
    <row r="463" spans="16:16" x14ac:dyDescent="0.2">
      <c r="P463" s="7" t="str">
        <f ca="1">IFERROR(IF(HELP!$F459&gt;N,"",INDEX(T_L1[],HELP!G459,1)
&amp;IF(N_LISTS=1,"",I_S&amp;INDEX(T_L2[],HELP!H459,1)
&amp;IF(N_LISTS=2,"",I_S&amp;INDEX(T_L3[],HELP!I459,1)
&amp;IF(N_LISTS=3,"",I_S&amp;INDEX(T_L4[],HELP!J459,1)
&amp;IF(N_LISTS=4,"",I_S&amp;INDEX(T_L5[],HELP!K459,1)
&amp;IF(N_LISTS=5,"",I_S&amp;INDEX(T_L6[],HELP!L459,1))))))),"")</f>
        <v/>
      </c>
    </row>
    <row r="464" spans="16:16" x14ac:dyDescent="0.2">
      <c r="P464" s="7" t="str">
        <f ca="1">IFERROR(IF(HELP!$F460&gt;N,"",INDEX(T_L1[],HELP!G460,1)
&amp;IF(N_LISTS=1,"",I_S&amp;INDEX(T_L2[],HELP!H460,1)
&amp;IF(N_LISTS=2,"",I_S&amp;INDEX(T_L3[],HELP!I460,1)
&amp;IF(N_LISTS=3,"",I_S&amp;INDEX(T_L4[],HELP!J460,1)
&amp;IF(N_LISTS=4,"",I_S&amp;INDEX(T_L5[],HELP!K460,1)
&amp;IF(N_LISTS=5,"",I_S&amp;INDEX(T_L6[],HELP!L460,1))))))),"")</f>
        <v/>
      </c>
    </row>
    <row r="465" spans="16:16" x14ac:dyDescent="0.2">
      <c r="P465" s="7" t="str">
        <f ca="1">IFERROR(IF(HELP!$F461&gt;N,"",INDEX(T_L1[],HELP!G461,1)
&amp;IF(N_LISTS=1,"",I_S&amp;INDEX(T_L2[],HELP!H461,1)
&amp;IF(N_LISTS=2,"",I_S&amp;INDEX(T_L3[],HELP!I461,1)
&amp;IF(N_LISTS=3,"",I_S&amp;INDEX(T_L4[],HELP!J461,1)
&amp;IF(N_LISTS=4,"",I_S&amp;INDEX(T_L5[],HELP!K461,1)
&amp;IF(N_LISTS=5,"",I_S&amp;INDEX(T_L6[],HELP!L461,1))))))),"")</f>
        <v/>
      </c>
    </row>
    <row r="466" spans="16:16" x14ac:dyDescent="0.2">
      <c r="P466" s="7" t="str">
        <f ca="1">IFERROR(IF(HELP!$F462&gt;N,"",INDEX(T_L1[],HELP!G462,1)
&amp;IF(N_LISTS=1,"",I_S&amp;INDEX(T_L2[],HELP!H462,1)
&amp;IF(N_LISTS=2,"",I_S&amp;INDEX(T_L3[],HELP!I462,1)
&amp;IF(N_LISTS=3,"",I_S&amp;INDEX(T_L4[],HELP!J462,1)
&amp;IF(N_LISTS=4,"",I_S&amp;INDEX(T_L5[],HELP!K462,1)
&amp;IF(N_LISTS=5,"",I_S&amp;INDEX(T_L6[],HELP!L462,1))))))),"")</f>
        <v/>
      </c>
    </row>
    <row r="467" spans="16:16" x14ac:dyDescent="0.2">
      <c r="P467" s="7" t="str">
        <f ca="1">IFERROR(IF(HELP!$F463&gt;N,"",INDEX(T_L1[],HELP!G463,1)
&amp;IF(N_LISTS=1,"",I_S&amp;INDEX(T_L2[],HELP!H463,1)
&amp;IF(N_LISTS=2,"",I_S&amp;INDEX(T_L3[],HELP!I463,1)
&amp;IF(N_LISTS=3,"",I_S&amp;INDEX(T_L4[],HELP!J463,1)
&amp;IF(N_LISTS=4,"",I_S&amp;INDEX(T_L5[],HELP!K463,1)
&amp;IF(N_LISTS=5,"",I_S&amp;INDEX(T_L6[],HELP!L463,1))))))),"")</f>
        <v/>
      </c>
    </row>
    <row r="468" spans="16:16" x14ac:dyDescent="0.2">
      <c r="P468" s="7" t="str">
        <f ca="1">IFERROR(IF(HELP!$F464&gt;N,"",INDEX(T_L1[],HELP!G464,1)
&amp;IF(N_LISTS=1,"",I_S&amp;INDEX(T_L2[],HELP!H464,1)
&amp;IF(N_LISTS=2,"",I_S&amp;INDEX(T_L3[],HELP!I464,1)
&amp;IF(N_LISTS=3,"",I_S&amp;INDEX(T_L4[],HELP!J464,1)
&amp;IF(N_LISTS=4,"",I_S&amp;INDEX(T_L5[],HELP!K464,1)
&amp;IF(N_LISTS=5,"",I_S&amp;INDEX(T_L6[],HELP!L464,1))))))),"")</f>
        <v/>
      </c>
    </row>
    <row r="469" spans="16:16" x14ac:dyDescent="0.2">
      <c r="P469" s="7" t="str">
        <f ca="1">IFERROR(IF(HELP!$F465&gt;N,"",INDEX(T_L1[],HELP!G465,1)
&amp;IF(N_LISTS=1,"",I_S&amp;INDEX(T_L2[],HELP!H465,1)
&amp;IF(N_LISTS=2,"",I_S&amp;INDEX(T_L3[],HELP!I465,1)
&amp;IF(N_LISTS=3,"",I_S&amp;INDEX(T_L4[],HELP!J465,1)
&amp;IF(N_LISTS=4,"",I_S&amp;INDEX(T_L5[],HELP!K465,1)
&amp;IF(N_LISTS=5,"",I_S&amp;INDEX(T_L6[],HELP!L465,1))))))),"")</f>
        <v/>
      </c>
    </row>
    <row r="470" spans="16:16" x14ac:dyDescent="0.2">
      <c r="P470" s="7" t="str">
        <f ca="1">IFERROR(IF(HELP!$F466&gt;N,"",INDEX(T_L1[],HELP!G466,1)
&amp;IF(N_LISTS=1,"",I_S&amp;INDEX(T_L2[],HELP!H466,1)
&amp;IF(N_LISTS=2,"",I_S&amp;INDEX(T_L3[],HELP!I466,1)
&amp;IF(N_LISTS=3,"",I_S&amp;INDEX(T_L4[],HELP!J466,1)
&amp;IF(N_LISTS=4,"",I_S&amp;INDEX(T_L5[],HELP!K466,1)
&amp;IF(N_LISTS=5,"",I_S&amp;INDEX(T_L6[],HELP!L466,1))))))),"")</f>
        <v/>
      </c>
    </row>
    <row r="471" spans="16:16" x14ac:dyDescent="0.2">
      <c r="P471" s="7" t="str">
        <f ca="1">IFERROR(IF(HELP!$F467&gt;N,"",INDEX(T_L1[],HELP!G467,1)
&amp;IF(N_LISTS=1,"",I_S&amp;INDEX(T_L2[],HELP!H467,1)
&amp;IF(N_LISTS=2,"",I_S&amp;INDEX(T_L3[],HELP!I467,1)
&amp;IF(N_LISTS=3,"",I_S&amp;INDEX(T_L4[],HELP!J467,1)
&amp;IF(N_LISTS=4,"",I_S&amp;INDEX(T_L5[],HELP!K467,1)
&amp;IF(N_LISTS=5,"",I_S&amp;INDEX(T_L6[],HELP!L467,1))))))),"")</f>
        <v/>
      </c>
    </row>
    <row r="472" spans="16:16" x14ac:dyDescent="0.2">
      <c r="P472" s="7" t="str">
        <f ca="1">IFERROR(IF(HELP!$F468&gt;N,"",INDEX(T_L1[],HELP!G468,1)
&amp;IF(N_LISTS=1,"",I_S&amp;INDEX(T_L2[],HELP!H468,1)
&amp;IF(N_LISTS=2,"",I_S&amp;INDEX(T_L3[],HELP!I468,1)
&amp;IF(N_LISTS=3,"",I_S&amp;INDEX(T_L4[],HELP!J468,1)
&amp;IF(N_LISTS=4,"",I_S&amp;INDEX(T_L5[],HELP!K468,1)
&amp;IF(N_LISTS=5,"",I_S&amp;INDEX(T_L6[],HELP!L468,1))))))),"")</f>
        <v/>
      </c>
    </row>
    <row r="473" spans="16:16" x14ac:dyDescent="0.2">
      <c r="P473" s="7" t="str">
        <f ca="1">IFERROR(IF(HELP!$F469&gt;N,"",INDEX(T_L1[],HELP!G469,1)
&amp;IF(N_LISTS=1,"",I_S&amp;INDEX(T_L2[],HELP!H469,1)
&amp;IF(N_LISTS=2,"",I_S&amp;INDEX(T_L3[],HELP!I469,1)
&amp;IF(N_LISTS=3,"",I_S&amp;INDEX(T_L4[],HELP!J469,1)
&amp;IF(N_LISTS=4,"",I_S&amp;INDEX(T_L5[],HELP!K469,1)
&amp;IF(N_LISTS=5,"",I_S&amp;INDEX(T_L6[],HELP!L469,1))))))),"")</f>
        <v/>
      </c>
    </row>
    <row r="474" spans="16:16" x14ac:dyDescent="0.2">
      <c r="P474" s="7" t="str">
        <f ca="1">IFERROR(IF(HELP!$F470&gt;N,"",INDEX(T_L1[],HELP!G470,1)
&amp;IF(N_LISTS=1,"",I_S&amp;INDEX(T_L2[],HELP!H470,1)
&amp;IF(N_LISTS=2,"",I_S&amp;INDEX(T_L3[],HELP!I470,1)
&amp;IF(N_LISTS=3,"",I_S&amp;INDEX(T_L4[],HELP!J470,1)
&amp;IF(N_LISTS=4,"",I_S&amp;INDEX(T_L5[],HELP!K470,1)
&amp;IF(N_LISTS=5,"",I_S&amp;INDEX(T_L6[],HELP!L470,1))))))),"")</f>
        <v/>
      </c>
    </row>
    <row r="475" spans="16:16" x14ac:dyDescent="0.2">
      <c r="P475" s="7" t="str">
        <f ca="1">IFERROR(IF(HELP!$F471&gt;N,"",INDEX(T_L1[],HELP!G471,1)
&amp;IF(N_LISTS=1,"",I_S&amp;INDEX(T_L2[],HELP!H471,1)
&amp;IF(N_LISTS=2,"",I_S&amp;INDEX(T_L3[],HELP!I471,1)
&amp;IF(N_LISTS=3,"",I_S&amp;INDEX(T_L4[],HELP!J471,1)
&amp;IF(N_LISTS=4,"",I_S&amp;INDEX(T_L5[],HELP!K471,1)
&amp;IF(N_LISTS=5,"",I_S&amp;INDEX(T_L6[],HELP!L471,1))))))),"")</f>
        <v/>
      </c>
    </row>
    <row r="476" spans="16:16" x14ac:dyDescent="0.2">
      <c r="P476" s="7" t="str">
        <f ca="1">IFERROR(IF(HELP!$F472&gt;N,"",INDEX(T_L1[],HELP!G472,1)
&amp;IF(N_LISTS=1,"",I_S&amp;INDEX(T_L2[],HELP!H472,1)
&amp;IF(N_LISTS=2,"",I_S&amp;INDEX(T_L3[],HELP!I472,1)
&amp;IF(N_LISTS=3,"",I_S&amp;INDEX(T_L4[],HELP!J472,1)
&amp;IF(N_LISTS=4,"",I_S&amp;INDEX(T_L5[],HELP!K472,1)
&amp;IF(N_LISTS=5,"",I_S&amp;INDEX(T_L6[],HELP!L472,1))))))),"")</f>
        <v/>
      </c>
    </row>
    <row r="477" spans="16:16" x14ac:dyDescent="0.2">
      <c r="P477" s="7" t="str">
        <f ca="1">IFERROR(IF(HELP!$F473&gt;N,"",INDEX(T_L1[],HELP!G473,1)
&amp;IF(N_LISTS=1,"",I_S&amp;INDEX(T_L2[],HELP!H473,1)
&amp;IF(N_LISTS=2,"",I_S&amp;INDEX(T_L3[],HELP!I473,1)
&amp;IF(N_LISTS=3,"",I_S&amp;INDEX(T_L4[],HELP!J473,1)
&amp;IF(N_LISTS=4,"",I_S&amp;INDEX(T_L5[],HELP!K473,1)
&amp;IF(N_LISTS=5,"",I_S&amp;INDEX(T_L6[],HELP!L473,1))))))),"")</f>
        <v/>
      </c>
    </row>
    <row r="478" spans="16:16" x14ac:dyDescent="0.2">
      <c r="P478" s="7" t="str">
        <f ca="1">IFERROR(IF(HELP!$F474&gt;N,"",INDEX(T_L1[],HELP!G474,1)
&amp;IF(N_LISTS=1,"",I_S&amp;INDEX(T_L2[],HELP!H474,1)
&amp;IF(N_LISTS=2,"",I_S&amp;INDEX(T_L3[],HELP!I474,1)
&amp;IF(N_LISTS=3,"",I_S&amp;INDEX(T_L4[],HELP!J474,1)
&amp;IF(N_LISTS=4,"",I_S&amp;INDEX(T_L5[],HELP!K474,1)
&amp;IF(N_LISTS=5,"",I_S&amp;INDEX(T_L6[],HELP!L474,1))))))),"")</f>
        <v/>
      </c>
    </row>
    <row r="479" spans="16:16" x14ac:dyDescent="0.2">
      <c r="P479" s="7" t="str">
        <f ca="1">IFERROR(IF(HELP!$F475&gt;N,"",INDEX(T_L1[],HELP!G475,1)
&amp;IF(N_LISTS=1,"",I_S&amp;INDEX(T_L2[],HELP!H475,1)
&amp;IF(N_LISTS=2,"",I_S&amp;INDEX(T_L3[],HELP!I475,1)
&amp;IF(N_LISTS=3,"",I_S&amp;INDEX(T_L4[],HELP!J475,1)
&amp;IF(N_LISTS=4,"",I_S&amp;INDEX(T_L5[],HELP!K475,1)
&amp;IF(N_LISTS=5,"",I_S&amp;INDEX(T_L6[],HELP!L475,1))))))),"")</f>
        <v/>
      </c>
    </row>
    <row r="480" spans="16:16" x14ac:dyDescent="0.2">
      <c r="P480" s="7" t="str">
        <f ca="1">IFERROR(IF(HELP!$F476&gt;N,"",INDEX(T_L1[],HELP!G476,1)
&amp;IF(N_LISTS=1,"",I_S&amp;INDEX(T_L2[],HELP!H476,1)
&amp;IF(N_LISTS=2,"",I_S&amp;INDEX(T_L3[],HELP!I476,1)
&amp;IF(N_LISTS=3,"",I_S&amp;INDEX(T_L4[],HELP!J476,1)
&amp;IF(N_LISTS=4,"",I_S&amp;INDEX(T_L5[],HELP!K476,1)
&amp;IF(N_LISTS=5,"",I_S&amp;INDEX(T_L6[],HELP!L476,1))))))),"")</f>
        <v/>
      </c>
    </row>
    <row r="481" spans="16:16" x14ac:dyDescent="0.2">
      <c r="P481" s="7" t="str">
        <f ca="1">IFERROR(IF(HELP!$F477&gt;N,"",INDEX(T_L1[],HELP!G477,1)
&amp;IF(N_LISTS=1,"",I_S&amp;INDEX(T_L2[],HELP!H477,1)
&amp;IF(N_LISTS=2,"",I_S&amp;INDEX(T_L3[],HELP!I477,1)
&amp;IF(N_LISTS=3,"",I_S&amp;INDEX(T_L4[],HELP!J477,1)
&amp;IF(N_LISTS=4,"",I_S&amp;INDEX(T_L5[],HELP!K477,1)
&amp;IF(N_LISTS=5,"",I_S&amp;INDEX(T_L6[],HELP!L477,1))))))),"")</f>
        <v/>
      </c>
    </row>
    <row r="482" spans="16:16" x14ac:dyDescent="0.2">
      <c r="P482" s="7" t="str">
        <f ca="1">IFERROR(IF(HELP!$F478&gt;N,"",INDEX(T_L1[],HELP!G478,1)
&amp;IF(N_LISTS=1,"",I_S&amp;INDEX(T_L2[],HELP!H478,1)
&amp;IF(N_LISTS=2,"",I_S&amp;INDEX(T_L3[],HELP!I478,1)
&amp;IF(N_LISTS=3,"",I_S&amp;INDEX(T_L4[],HELP!J478,1)
&amp;IF(N_LISTS=4,"",I_S&amp;INDEX(T_L5[],HELP!K478,1)
&amp;IF(N_LISTS=5,"",I_S&amp;INDEX(T_L6[],HELP!L478,1))))))),"")</f>
        <v/>
      </c>
    </row>
    <row r="483" spans="16:16" x14ac:dyDescent="0.2">
      <c r="P483" s="7" t="str">
        <f ca="1">IFERROR(IF(HELP!$F479&gt;N,"",INDEX(T_L1[],HELP!G479,1)
&amp;IF(N_LISTS=1,"",I_S&amp;INDEX(T_L2[],HELP!H479,1)
&amp;IF(N_LISTS=2,"",I_S&amp;INDEX(T_L3[],HELP!I479,1)
&amp;IF(N_LISTS=3,"",I_S&amp;INDEX(T_L4[],HELP!J479,1)
&amp;IF(N_LISTS=4,"",I_S&amp;INDEX(T_L5[],HELP!K479,1)
&amp;IF(N_LISTS=5,"",I_S&amp;INDEX(T_L6[],HELP!L479,1))))))),"")</f>
        <v/>
      </c>
    </row>
    <row r="484" spans="16:16" x14ac:dyDescent="0.2">
      <c r="P484" s="7" t="str">
        <f ca="1">IFERROR(IF(HELP!$F480&gt;N,"",INDEX(T_L1[],HELP!G480,1)
&amp;IF(N_LISTS=1,"",I_S&amp;INDEX(T_L2[],HELP!H480,1)
&amp;IF(N_LISTS=2,"",I_S&amp;INDEX(T_L3[],HELP!I480,1)
&amp;IF(N_LISTS=3,"",I_S&amp;INDEX(T_L4[],HELP!J480,1)
&amp;IF(N_LISTS=4,"",I_S&amp;INDEX(T_L5[],HELP!K480,1)
&amp;IF(N_LISTS=5,"",I_S&amp;INDEX(T_L6[],HELP!L480,1))))))),"")</f>
        <v/>
      </c>
    </row>
    <row r="485" spans="16:16" x14ac:dyDescent="0.2">
      <c r="P485" s="7" t="str">
        <f ca="1">IFERROR(IF(HELP!$F481&gt;N,"",INDEX(T_L1[],HELP!G481,1)
&amp;IF(N_LISTS=1,"",I_S&amp;INDEX(T_L2[],HELP!H481,1)
&amp;IF(N_LISTS=2,"",I_S&amp;INDEX(T_L3[],HELP!I481,1)
&amp;IF(N_LISTS=3,"",I_S&amp;INDEX(T_L4[],HELP!J481,1)
&amp;IF(N_LISTS=4,"",I_S&amp;INDEX(T_L5[],HELP!K481,1)
&amp;IF(N_LISTS=5,"",I_S&amp;INDEX(T_L6[],HELP!L481,1))))))),"")</f>
        <v/>
      </c>
    </row>
    <row r="486" spans="16:16" x14ac:dyDescent="0.2">
      <c r="P486" s="7" t="str">
        <f ca="1">IFERROR(IF(HELP!$F482&gt;N,"",INDEX(T_L1[],HELP!G482,1)
&amp;IF(N_LISTS=1,"",I_S&amp;INDEX(T_L2[],HELP!H482,1)
&amp;IF(N_LISTS=2,"",I_S&amp;INDEX(T_L3[],HELP!I482,1)
&amp;IF(N_LISTS=3,"",I_S&amp;INDEX(T_L4[],HELP!J482,1)
&amp;IF(N_LISTS=4,"",I_S&amp;INDEX(T_L5[],HELP!K482,1)
&amp;IF(N_LISTS=5,"",I_S&amp;INDEX(T_L6[],HELP!L482,1))))))),"")</f>
        <v/>
      </c>
    </row>
    <row r="487" spans="16:16" x14ac:dyDescent="0.2">
      <c r="P487" s="7" t="str">
        <f ca="1">IFERROR(IF(HELP!$F483&gt;N,"",INDEX(T_L1[],HELP!G483,1)
&amp;IF(N_LISTS=1,"",I_S&amp;INDEX(T_L2[],HELP!H483,1)
&amp;IF(N_LISTS=2,"",I_S&amp;INDEX(T_L3[],HELP!I483,1)
&amp;IF(N_LISTS=3,"",I_S&amp;INDEX(T_L4[],HELP!J483,1)
&amp;IF(N_LISTS=4,"",I_S&amp;INDEX(T_L5[],HELP!K483,1)
&amp;IF(N_LISTS=5,"",I_S&amp;INDEX(T_L6[],HELP!L483,1))))))),"")</f>
        <v/>
      </c>
    </row>
    <row r="488" spans="16:16" x14ac:dyDescent="0.2">
      <c r="P488" s="7" t="str">
        <f ca="1">IFERROR(IF(HELP!$F484&gt;N,"",INDEX(T_L1[],HELP!G484,1)
&amp;IF(N_LISTS=1,"",I_S&amp;INDEX(T_L2[],HELP!H484,1)
&amp;IF(N_LISTS=2,"",I_S&amp;INDEX(T_L3[],HELP!I484,1)
&amp;IF(N_LISTS=3,"",I_S&amp;INDEX(T_L4[],HELP!J484,1)
&amp;IF(N_LISTS=4,"",I_S&amp;INDEX(T_L5[],HELP!K484,1)
&amp;IF(N_LISTS=5,"",I_S&amp;INDEX(T_L6[],HELP!L484,1))))))),"")</f>
        <v/>
      </c>
    </row>
    <row r="489" spans="16:16" x14ac:dyDescent="0.2">
      <c r="P489" s="7" t="str">
        <f ca="1">IFERROR(IF(HELP!$F485&gt;N,"",INDEX(T_L1[],HELP!G485,1)
&amp;IF(N_LISTS=1,"",I_S&amp;INDEX(T_L2[],HELP!H485,1)
&amp;IF(N_LISTS=2,"",I_S&amp;INDEX(T_L3[],HELP!I485,1)
&amp;IF(N_LISTS=3,"",I_S&amp;INDEX(T_L4[],HELP!J485,1)
&amp;IF(N_LISTS=4,"",I_S&amp;INDEX(T_L5[],HELP!K485,1)
&amp;IF(N_LISTS=5,"",I_S&amp;INDEX(T_L6[],HELP!L485,1))))))),"")</f>
        <v/>
      </c>
    </row>
    <row r="490" spans="16:16" x14ac:dyDescent="0.2">
      <c r="P490" s="7" t="str">
        <f ca="1">IFERROR(IF(HELP!$F486&gt;N,"",INDEX(T_L1[],HELP!G486,1)
&amp;IF(N_LISTS=1,"",I_S&amp;INDEX(T_L2[],HELP!H486,1)
&amp;IF(N_LISTS=2,"",I_S&amp;INDEX(T_L3[],HELP!I486,1)
&amp;IF(N_LISTS=3,"",I_S&amp;INDEX(T_L4[],HELP!J486,1)
&amp;IF(N_LISTS=4,"",I_S&amp;INDEX(T_L5[],HELP!K486,1)
&amp;IF(N_LISTS=5,"",I_S&amp;INDEX(T_L6[],HELP!L486,1))))))),"")</f>
        <v/>
      </c>
    </row>
    <row r="491" spans="16:16" x14ac:dyDescent="0.2">
      <c r="P491" s="7" t="str">
        <f ca="1">IFERROR(IF(HELP!$F487&gt;N,"",INDEX(T_L1[],HELP!G487,1)
&amp;IF(N_LISTS=1,"",I_S&amp;INDEX(T_L2[],HELP!H487,1)
&amp;IF(N_LISTS=2,"",I_S&amp;INDEX(T_L3[],HELP!I487,1)
&amp;IF(N_LISTS=3,"",I_S&amp;INDEX(T_L4[],HELP!J487,1)
&amp;IF(N_LISTS=4,"",I_S&amp;INDEX(T_L5[],HELP!K487,1)
&amp;IF(N_LISTS=5,"",I_S&amp;INDEX(T_L6[],HELP!L487,1))))))),"")</f>
        <v/>
      </c>
    </row>
    <row r="492" spans="16:16" x14ac:dyDescent="0.2">
      <c r="P492" s="7" t="str">
        <f ca="1">IFERROR(IF(HELP!$F488&gt;N,"",INDEX(T_L1[],HELP!G488,1)
&amp;IF(N_LISTS=1,"",I_S&amp;INDEX(T_L2[],HELP!H488,1)
&amp;IF(N_LISTS=2,"",I_S&amp;INDEX(T_L3[],HELP!I488,1)
&amp;IF(N_LISTS=3,"",I_S&amp;INDEX(T_L4[],HELP!J488,1)
&amp;IF(N_LISTS=4,"",I_S&amp;INDEX(T_L5[],HELP!K488,1)
&amp;IF(N_LISTS=5,"",I_S&amp;INDEX(T_L6[],HELP!L488,1))))))),"")</f>
        <v/>
      </c>
    </row>
    <row r="493" spans="16:16" x14ac:dyDescent="0.2">
      <c r="P493" s="7" t="str">
        <f ca="1">IFERROR(IF(HELP!$F489&gt;N,"",INDEX(T_L1[],HELP!G489,1)
&amp;IF(N_LISTS=1,"",I_S&amp;INDEX(T_L2[],HELP!H489,1)
&amp;IF(N_LISTS=2,"",I_S&amp;INDEX(T_L3[],HELP!I489,1)
&amp;IF(N_LISTS=3,"",I_S&amp;INDEX(T_L4[],HELP!J489,1)
&amp;IF(N_LISTS=4,"",I_S&amp;INDEX(T_L5[],HELP!K489,1)
&amp;IF(N_LISTS=5,"",I_S&amp;INDEX(T_L6[],HELP!L489,1))))))),"")</f>
        <v/>
      </c>
    </row>
    <row r="494" spans="16:16" x14ac:dyDescent="0.2">
      <c r="P494" s="7" t="str">
        <f ca="1">IFERROR(IF(HELP!$F490&gt;N,"",INDEX(T_L1[],HELP!G490,1)
&amp;IF(N_LISTS=1,"",I_S&amp;INDEX(T_L2[],HELP!H490,1)
&amp;IF(N_LISTS=2,"",I_S&amp;INDEX(T_L3[],HELP!I490,1)
&amp;IF(N_LISTS=3,"",I_S&amp;INDEX(T_L4[],HELP!J490,1)
&amp;IF(N_LISTS=4,"",I_S&amp;INDEX(T_L5[],HELP!K490,1)
&amp;IF(N_LISTS=5,"",I_S&amp;INDEX(T_L6[],HELP!L490,1))))))),"")</f>
        <v/>
      </c>
    </row>
    <row r="495" spans="16:16" x14ac:dyDescent="0.2">
      <c r="P495" s="7" t="str">
        <f ca="1">IFERROR(IF(HELP!$F491&gt;N,"",INDEX(T_L1[],HELP!G491,1)
&amp;IF(N_LISTS=1,"",I_S&amp;INDEX(T_L2[],HELP!H491,1)
&amp;IF(N_LISTS=2,"",I_S&amp;INDEX(T_L3[],HELP!I491,1)
&amp;IF(N_LISTS=3,"",I_S&amp;INDEX(T_L4[],HELP!J491,1)
&amp;IF(N_LISTS=4,"",I_S&amp;INDEX(T_L5[],HELP!K491,1)
&amp;IF(N_LISTS=5,"",I_S&amp;INDEX(T_L6[],HELP!L491,1))))))),"")</f>
        <v/>
      </c>
    </row>
    <row r="496" spans="16:16" x14ac:dyDescent="0.2">
      <c r="P496" s="7" t="str">
        <f ca="1">IFERROR(IF(HELP!$F492&gt;N,"",INDEX(T_L1[],HELP!G492,1)
&amp;IF(N_LISTS=1,"",I_S&amp;INDEX(T_L2[],HELP!H492,1)
&amp;IF(N_LISTS=2,"",I_S&amp;INDEX(T_L3[],HELP!I492,1)
&amp;IF(N_LISTS=3,"",I_S&amp;INDEX(T_L4[],HELP!J492,1)
&amp;IF(N_LISTS=4,"",I_S&amp;INDEX(T_L5[],HELP!K492,1)
&amp;IF(N_LISTS=5,"",I_S&amp;INDEX(T_L6[],HELP!L492,1))))))),"")</f>
        <v/>
      </c>
    </row>
    <row r="497" spans="16:16" x14ac:dyDescent="0.2">
      <c r="P497" s="7" t="str">
        <f ca="1">IFERROR(IF(HELP!$F493&gt;N,"",INDEX(T_L1[],HELP!G493,1)
&amp;IF(N_LISTS=1,"",I_S&amp;INDEX(T_L2[],HELP!H493,1)
&amp;IF(N_LISTS=2,"",I_S&amp;INDEX(T_L3[],HELP!I493,1)
&amp;IF(N_LISTS=3,"",I_S&amp;INDEX(T_L4[],HELP!J493,1)
&amp;IF(N_LISTS=4,"",I_S&amp;INDEX(T_L5[],HELP!K493,1)
&amp;IF(N_LISTS=5,"",I_S&amp;INDEX(T_L6[],HELP!L493,1))))))),"")</f>
        <v/>
      </c>
    </row>
    <row r="498" spans="16:16" x14ac:dyDescent="0.2">
      <c r="P498" s="7" t="str">
        <f ca="1">IFERROR(IF(HELP!$F494&gt;N,"",INDEX(T_L1[],HELP!G494,1)
&amp;IF(N_LISTS=1,"",I_S&amp;INDEX(T_L2[],HELP!H494,1)
&amp;IF(N_LISTS=2,"",I_S&amp;INDEX(T_L3[],HELP!I494,1)
&amp;IF(N_LISTS=3,"",I_S&amp;INDEX(T_L4[],HELP!J494,1)
&amp;IF(N_LISTS=4,"",I_S&amp;INDEX(T_L5[],HELP!K494,1)
&amp;IF(N_LISTS=5,"",I_S&amp;INDEX(T_L6[],HELP!L494,1))))))),"")</f>
        <v/>
      </c>
    </row>
    <row r="499" spans="16:16" x14ac:dyDescent="0.2">
      <c r="P499" s="7" t="str">
        <f ca="1">IFERROR(IF(HELP!$F495&gt;N,"",INDEX(T_L1[],HELP!G495,1)
&amp;IF(N_LISTS=1,"",I_S&amp;INDEX(T_L2[],HELP!H495,1)
&amp;IF(N_LISTS=2,"",I_S&amp;INDEX(T_L3[],HELP!I495,1)
&amp;IF(N_LISTS=3,"",I_S&amp;INDEX(T_L4[],HELP!J495,1)
&amp;IF(N_LISTS=4,"",I_S&amp;INDEX(T_L5[],HELP!K495,1)
&amp;IF(N_LISTS=5,"",I_S&amp;INDEX(T_L6[],HELP!L495,1))))))),"")</f>
        <v/>
      </c>
    </row>
    <row r="500" spans="16:16" x14ac:dyDescent="0.2">
      <c r="P500" s="7" t="str">
        <f ca="1">IFERROR(IF(HELP!$F496&gt;N,"",INDEX(T_L1[],HELP!G496,1)
&amp;IF(N_LISTS=1,"",I_S&amp;INDEX(T_L2[],HELP!H496,1)
&amp;IF(N_LISTS=2,"",I_S&amp;INDEX(T_L3[],HELP!I496,1)
&amp;IF(N_LISTS=3,"",I_S&amp;INDEX(T_L4[],HELP!J496,1)
&amp;IF(N_LISTS=4,"",I_S&amp;INDEX(T_L5[],HELP!K496,1)
&amp;IF(N_LISTS=5,"",I_S&amp;INDEX(T_L6[],HELP!L496,1))))))),"")</f>
        <v/>
      </c>
    </row>
    <row r="501" spans="16:16" x14ac:dyDescent="0.2">
      <c r="P501" s="7" t="str">
        <f ca="1">IFERROR(IF(HELP!$F497&gt;N,"",INDEX(T_L1[],HELP!G497,1)
&amp;IF(N_LISTS=1,"",I_S&amp;INDEX(T_L2[],HELP!H497,1)
&amp;IF(N_LISTS=2,"",I_S&amp;INDEX(T_L3[],HELP!I497,1)
&amp;IF(N_LISTS=3,"",I_S&amp;INDEX(T_L4[],HELP!J497,1)
&amp;IF(N_LISTS=4,"",I_S&amp;INDEX(T_L5[],HELP!K497,1)
&amp;IF(N_LISTS=5,"",I_S&amp;INDEX(T_L6[],HELP!L497,1))))))),"")</f>
        <v/>
      </c>
    </row>
    <row r="502" spans="16:16" x14ac:dyDescent="0.2">
      <c r="P502" s="7" t="str">
        <f ca="1">IFERROR(IF(HELP!$F498&gt;N,"",INDEX(T_L1[],HELP!G498,1)
&amp;IF(N_LISTS=1,"",I_S&amp;INDEX(T_L2[],HELP!H498,1)
&amp;IF(N_LISTS=2,"",I_S&amp;INDEX(T_L3[],HELP!I498,1)
&amp;IF(N_LISTS=3,"",I_S&amp;INDEX(T_L4[],HELP!J498,1)
&amp;IF(N_LISTS=4,"",I_S&amp;INDEX(T_L5[],HELP!K498,1)
&amp;IF(N_LISTS=5,"",I_S&amp;INDEX(T_L6[],HELP!L498,1))))))),"")</f>
        <v/>
      </c>
    </row>
    <row r="503" spans="16:16" x14ac:dyDescent="0.2">
      <c r="P503" s="7" t="str">
        <f ca="1">IFERROR(IF(HELP!$F499&gt;N,"",INDEX(T_L1[],HELP!G499,1)
&amp;IF(N_LISTS=1,"",I_S&amp;INDEX(T_L2[],HELP!H499,1)
&amp;IF(N_LISTS=2,"",I_S&amp;INDEX(T_L3[],HELP!I499,1)
&amp;IF(N_LISTS=3,"",I_S&amp;INDEX(T_L4[],HELP!J499,1)
&amp;IF(N_LISTS=4,"",I_S&amp;INDEX(T_L5[],HELP!K499,1)
&amp;IF(N_LISTS=5,"",I_S&amp;INDEX(T_L6[],HELP!L499,1))))))),"")</f>
        <v/>
      </c>
    </row>
    <row r="504" spans="16:16" x14ac:dyDescent="0.2">
      <c r="P504" s="7" t="str">
        <f ca="1">IFERROR(IF(HELP!$F500&gt;N,"",INDEX(T_L1[],HELP!G500,1)
&amp;IF(N_LISTS=1,"",I_S&amp;INDEX(T_L2[],HELP!H500,1)
&amp;IF(N_LISTS=2,"",I_S&amp;INDEX(T_L3[],HELP!I500,1)
&amp;IF(N_LISTS=3,"",I_S&amp;INDEX(T_L4[],HELP!J500,1)
&amp;IF(N_LISTS=4,"",I_S&amp;INDEX(T_L5[],HELP!K500,1)
&amp;IF(N_LISTS=5,"",I_S&amp;INDEX(T_L6[],HELP!L500,1))))))),"")</f>
        <v/>
      </c>
    </row>
    <row r="505" spans="16:16" x14ac:dyDescent="0.2">
      <c r="P505" s="7" t="str">
        <f ca="1">IFERROR(IF(HELP!$F501&gt;N,"",INDEX(T_L1[],HELP!G501,1)
&amp;IF(N_LISTS=1,"",I_S&amp;INDEX(T_L2[],HELP!H501,1)
&amp;IF(N_LISTS=2,"",I_S&amp;INDEX(T_L3[],HELP!I501,1)
&amp;IF(N_LISTS=3,"",I_S&amp;INDEX(T_L4[],HELP!J501,1)
&amp;IF(N_LISTS=4,"",I_S&amp;INDEX(T_L5[],HELP!K501,1)
&amp;IF(N_LISTS=5,"",I_S&amp;INDEX(T_L6[],HELP!L501,1))))))),"")</f>
        <v/>
      </c>
    </row>
    <row r="506" spans="16:16" x14ac:dyDescent="0.2">
      <c r="P506" s="8" t="str">
        <f ca="1">IFERROR(IF(HELP!$F502&gt;N,"",INDEX(T_L1[],HELP!G502,1)
&amp;IF(N_LISTS=1,"",I_S&amp;INDEX(T_L2[],HELP!H502,1)
&amp;IF(N_LISTS=2,"",I_S&amp;INDEX(T_L3[],HELP!I502,1)
&amp;IF(N_LISTS=3,"",I_S&amp;INDEX(T_L4[],HELP!J502,1)
&amp;IF(N_LISTS=4,"",I_S&amp;INDEX(T_L5[],HELP!K502,1)
&amp;IF(N_LISTS=5,"",I_S&amp;INDEX(T_L6[],HELP!L502,1))))))),"")</f>
        <v/>
      </c>
    </row>
    <row r="507" spans="16:16" x14ac:dyDescent="0.2">
      <c r="P507" s="8" t="str">
        <f ca="1">IFERROR(IF(HELP!$F503&gt;N,"",INDEX(T_L1[],HELP!G503,1)
&amp;IF(N_LISTS=1,"",I_S&amp;INDEX(T_L2[],HELP!H503,1)
&amp;IF(N_LISTS=2,"",I_S&amp;INDEX(T_L3[],HELP!I503,1)
&amp;IF(N_LISTS=3,"",I_S&amp;INDEX(T_L4[],HELP!J503,1)
&amp;IF(N_LISTS=4,"",I_S&amp;INDEX(T_L5[],HELP!K503,1)
&amp;IF(N_LISTS=5,"",I_S&amp;INDEX(T_L6[],HELP!L503,1))))))),"")</f>
        <v/>
      </c>
    </row>
    <row r="508" spans="16:16" x14ac:dyDescent="0.2">
      <c r="P508" s="8" t="str">
        <f ca="1">IFERROR(IF(HELP!$F504&gt;N,"",INDEX(T_L1[],HELP!G504,1)
&amp;IF(N_LISTS=1,"",I_S&amp;INDEX(T_L2[],HELP!H504,1)
&amp;IF(N_LISTS=2,"",I_S&amp;INDEX(T_L3[],HELP!I504,1)
&amp;IF(N_LISTS=3,"",I_S&amp;INDEX(T_L4[],HELP!J504,1)
&amp;IF(N_LISTS=4,"",I_S&amp;INDEX(T_L5[],HELP!K504,1)
&amp;IF(N_LISTS=5,"",I_S&amp;INDEX(T_L6[],HELP!L504,1))))))),"")</f>
        <v/>
      </c>
    </row>
    <row r="509" spans="16:16" x14ac:dyDescent="0.2">
      <c r="P509" s="8" t="str">
        <f ca="1">IFERROR(IF(HELP!$F505&gt;N,"",INDEX(T_L1[],HELP!G505,1)
&amp;IF(N_LISTS=1,"",I_S&amp;INDEX(T_L2[],HELP!H505,1)
&amp;IF(N_LISTS=2,"",I_S&amp;INDEX(T_L3[],HELP!I505,1)
&amp;IF(N_LISTS=3,"",I_S&amp;INDEX(T_L4[],HELP!J505,1)
&amp;IF(N_LISTS=4,"",I_S&amp;INDEX(T_L5[],HELP!K505,1)
&amp;IF(N_LISTS=5,"",I_S&amp;INDEX(T_L6[],HELP!L505,1))))))),"")</f>
        <v/>
      </c>
    </row>
    <row r="510" spans="16:16" x14ac:dyDescent="0.2">
      <c r="P510" s="8" t="str">
        <f ca="1">IFERROR(IF(HELP!$F506&gt;N,"",INDEX(T_L1[],HELP!G506,1)
&amp;IF(N_LISTS=1,"",I_S&amp;INDEX(T_L2[],HELP!H506,1)
&amp;IF(N_LISTS=2,"",I_S&amp;INDEX(T_L3[],HELP!I506,1)
&amp;IF(N_LISTS=3,"",I_S&amp;INDEX(T_L4[],HELP!J506,1)
&amp;IF(N_LISTS=4,"",I_S&amp;INDEX(T_L5[],HELP!K506,1)
&amp;IF(N_LISTS=5,"",I_S&amp;INDEX(T_L6[],HELP!L506,1))))))),"")</f>
        <v/>
      </c>
    </row>
    <row r="511" spans="16:16" x14ac:dyDescent="0.2">
      <c r="P511" s="8" t="str">
        <f ca="1">IFERROR(IF(HELP!$F507&gt;N,"",INDEX(T_L1[],HELP!G507,1)
&amp;IF(N_LISTS=1,"",I_S&amp;INDEX(T_L2[],HELP!H507,1)
&amp;IF(N_LISTS=2,"",I_S&amp;INDEX(T_L3[],HELP!I507,1)
&amp;IF(N_LISTS=3,"",I_S&amp;INDEX(T_L4[],HELP!J507,1)
&amp;IF(N_LISTS=4,"",I_S&amp;INDEX(T_L5[],HELP!K507,1)
&amp;IF(N_LISTS=5,"",I_S&amp;INDEX(T_L6[],HELP!L507,1))))))),"")</f>
        <v/>
      </c>
    </row>
    <row r="512" spans="16:16" x14ac:dyDescent="0.2">
      <c r="P512" s="8" t="str">
        <f ca="1">IFERROR(IF(HELP!$F508&gt;N,"",INDEX(T_L1[],HELP!G508,1)
&amp;IF(N_LISTS=1,"",I_S&amp;INDEX(T_L2[],HELP!H508,1)
&amp;IF(N_LISTS=2,"",I_S&amp;INDEX(T_L3[],HELP!I508,1)
&amp;IF(N_LISTS=3,"",I_S&amp;INDEX(T_L4[],HELP!J508,1)
&amp;IF(N_LISTS=4,"",I_S&amp;INDEX(T_L5[],HELP!K508,1)
&amp;IF(N_LISTS=5,"",I_S&amp;INDEX(T_L6[],HELP!L508,1))))))),"")</f>
        <v/>
      </c>
    </row>
    <row r="513" spans="16:16" x14ac:dyDescent="0.2">
      <c r="P513" s="8" t="str">
        <f ca="1">IFERROR(IF(HELP!$F509&gt;N,"",INDEX(T_L1[],HELP!G509,1)
&amp;IF(N_LISTS=1,"",I_S&amp;INDEX(T_L2[],HELP!H509,1)
&amp;IF(N_LISTS=2,"",I_S&amp;INDEX(T_L3[],HELP!I509,1)
&amp;IF(N_LISTS=3,"",I_S&amp;INDEX(T_L4[],HELP!J509,1)
&amp;IF(N_LISTS=4,"",I_S&amp;INDEX(T_L5[],HELP!K509,1)
&amp;IF(N_LISTS=5,"",I_S&amp;INDEX(T_L6[],HELP!L509,1))))))),"")</f>
        <v/>
      </c>
    </row>
    <row r="514" spans="16:16" x14ac:dyDescent="0.2">
      <c r="P514" s="8" t="str">
        <f ca="1">IFERROR(IF(HELP!$F510&gt;N,"",INDEX(T_L1[],HELP!G510,1)
&amp;IF(N_LISTS=1,"",I_S&amp;INDEX(T_L2[],HELP!H510,1)
&amp;IF(N_LISTS=2,"",I_S&amp;INDEX(T_L3[],HELP!I510,1)
&amp;IF(N_LISTS=3,"",I_S&amp;INDEX(T_L4[],HELP!J510,1)
&amp;IF(N_LISTS=4,"",I_S&amp;INDEX(T_L5[],HELP!K510,1)
&amp;IF(N_LISTS=5,"",I_S&amp;INDEX(T_L6[],HELP!L510,1))))))),"")</f>
        <v/>
      </c>
    </row>
  </sheetData>
  <phoneticPr fontId="13" type="noConversion"/>
  <dataValidations disablePrompts="1" count="1">
    <dataValidation type="list" allowBlank="1" showInputMessage="1" showErrorMessage="1" sqref="R7" xr:uid="{71CCD124-ED3E-4577-8BB0-97A178B3EB51}">
      <formula1>LIST</formula1>
    </dataValidation>
  </dataValidations>
  <hyperlinks>
    <hyperlink ref="R1" r:id="rId1" xr:uid="{37E0A795-4134-4AC5-B993-543619803003}"/>
  </hyperlinks>
  <pageMargins left="0.7" right="0.7" top="0.75" bottom="0.75" header="0.3" footer="0.3"/>
  <pageSetup orientation="portrait" horizontalDpi="360" verticalDpi="360" r:id="rId2"/>
  <legacyDrawing r:id="rId3"/>
  <tableParts count="6">
    <tablePart r:id="rId4"/>
    <tablePart r:id="rId5"/>
    <tablePart r:id="rId6"/>
    <tablePart r:id="rId7"/>
    <tablePart r:id="rId8"/>
    <tablePart r:id="rId9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E17D0-D630-F542-8D92-65A6BC519609}">
  <dimension ref="A1:B1037"/>
  <sheetViews>
    <sheetView workbookViewId="0">
      <selection activeCell="I1" sqref="I1"/>
    </sheetView>
  </sheetViews>
  <sheetFormatPr baseColWidth="10" defaultRowHeight="15" x14ac:dyDescent="0.2"/>
  <sheetData>
    <row r="1" spans="1:2" x14ac:dyDescent="0.2">
      <c r="A1" s="6" t="str">
        <f ca="1">IFERROR(IF(HELP!#REF!&gt;N,"",INDEX(T_L1[],HELP!#REF!,1)
&amp;IF(N_LISTS=1,"",I_S&amp;INDEX(T_L2[],HELP!#REF!,1)
&amp;IF(N_LISTS=2,"",I_S&amp;INDEX(T_L3[],HELP!#REF!,1)
&amp;IF(N_LISTS=3,"",I_S&amp;INDEX(T_L4[],HELP!#REF!,1)
&amp;IF(N_LISTS=4,"",I_S&amp;INDEX(T_L5[],HELP!#REF!,1)
&amp;IF(N_LISTS=5,"",I_S&amp;INDEX(T_L6[],HELP!#REF!,1))))))),"")</f>
        <v/>
      </c>
    </row>
    <row r="2" spans="1:2" x14ac:dyDescent="0.2">
      <c r="A2" s="7" t="str">
        <f ca="1">IFERROR(IF(HELP!#REF!&gt;N,"",INDEX(T_L1[],HELP!#REF!,1)
&amp;IF(N_LISTS=1,"",I_S&amp;INDEX(T_L2[],HELP!#REF!,1)
&amp;IF(N_LISTS=2,"",I_S&amp;INDEX(T_L3[],HELP!#REF!,1)
&amp;IF(N_LISTS=3,"",I_S&amp;INDEX(T_L4[],HELP!#REF!,1)
&amp;IF(N_LISTS=4,"",I_S&amp;INDEX(T_L5[],HELP!#REF!,1)
&amp;IF(N_LISTS=5,"",I_S&amp;INDEX(T_L6[],HELP!#REF!,1))))))),"")</f>
        <v/>
      </c>
      <c r="B2" t="s">
        <v>43</v>
      </c>
    </row>
    <row r="3" spans="1:2" x14ac:dyDescent="0.2">
      <c r="A3" s="7" t="str">
        <f ca="1">IFERROR(IF(HELP!#REF!&gt;N,"",INDEX(T_L1[],HELP!#REF!,1)
&amp;IF(N_LISTS=1,"",I_S&amp;INDEX(T_L2[],HELP!#REF!,1)
&amp;IF(N_LISTS=2,"",I_S&amp;INDEX(T_L3[],HELP!#REF!,1)
&amp;IF(N_LISTS=3,"",I_S&amp;INDEX(T_L4[],HELP!#REF!,1)
&amp;IF(N_LISTS=4,"",I_S&amp;INDEX(T_L5[],HELP!#REF!,1)
&amp;IF(N_LISTS=5,"",I_S&amp;INDEX(T_L6[],HELP!#REF!,1))))))),"")</f>
        <v/>
      </c>
      <c r="B3" t="s">
        <v>44</v>
      </c>
    </row>
    <row r="4" spans="1:2" x14ac:dyDescent="0.2">
      <c r="A4" s="7" t="str">
        <f ca="1">IFERROR(IF(HELP!#REF!&gt;N,"",INDEX(T_L1[],HELP!#REF!,1)
&amp;IF(N_LISTS=1,"",I_S&amp;INDEX(T_L2[],HELP!#REF!,1)
&amp;IF(N_LISTS=2,"",I_S&amp;INDEX(T_L3[],HELP!#REF!,1)
&amp;IF(N_LISTS=3,"",I_S&amp;INDEX(T_L4[],HELP!#REF!,1)
&amp;IF(N_LISTS=4,"",I_S&amp;INDEX(T_L5[],HELP!#REF!,1)
&amp;IF(N_LISTS=5,"",I_S&amp;INDEX(T_L6[],HELP!#REF!,1))))))),"")</f>
        <v/>
      </c>
      <c r="B4" t="s">
        <v>45</v>
      </c>
    </row>
    <row r="5" spans="1:2" x14ac:dyDescent="0.2">
      <c r="A5" s="7" t="str">
        <f ca="1">IFERROR(IF(HELP!$F1&gt;N,"",INDEX(T_L1[],HELP!#REF!,1)
&amp;IF(N_LISTS=1,"",I_S&amp;INDEX(T_L2[],HELP!#REF!,1)
&amp;IF(N_LISTS=2,"",I_S&amp;INDEX(T_L3[],HELP!#REF!,1)
&amp;IF(N_LISTS=3,"",I_S&amp;INDEX(T_L4[],HELP!#REF!,1)
&amp;IF(N_LISTS=4,"",I_S&amp;INDEX(T_L5[],HELP!#REF!,1)
&amp;IF(N_LISTS=5,"",I_S&amp;INDEX(T_L6[],HELP!#REF!,1))))))),"")</f>
        <v/>
      </c>
      <c r="B5" t="s">
        <v>46</v>
      </c>
    </row>
    <row r="6" spans="1:2" x14ac:dyDescent="0.2">
      <c r="A6" s="7" t="str">
        <f ca="1">IFERROR(IF(HELP!$F2&gt;N,"",INDEX(T_L1[],HELP!#REF!,1)
&amp;IF(N_LISTS=1,"",I_S&amp;INDEX(T_L2[],HELP!#REF!,1)
&amp;IF(N_LISTS=2,"",I_S&amp;INDEX(T_L3[],HELP!#REF!,1)
&amp;IF(N_LISTS=3,"",I_S&amp;INDEX(T_L4[],HELP!#REF!,1)
&amp;IF(N_LISTS=4,"",I_S&amp;INDEX(T_L5[],HELP!#REF!,1)
&amp;IF(N_LISTS=5,"",I_S&amp;INDEX(T_L6[],HELP!#REF!,1))))))),"")</f>
        <v/>
      </c>
      <c r="B6" t="s">
        <v>47</v>
      </c>
    </row>
    <row r="7" spans="1:2" x14ac:dyDescent="0.2">
      <c r="A7" s="7" t="str">
        <f ca="1">IFERROR(IF(HELP!$F3&gt;N,"",INDEX(T_L1[],HELP!#REF!,1)
&amp;IF(N_LISTS=1,"",I_S&amp;INDEX(T_L2[],HELP!#REF!,1)
&amp;IF(N_LISTS=2,"",I_S&amp;INDEX(T_L3[],HELP!#REF!,1)
&amp;IF(N_LISTS=3,"",I_S&amp;INDEX(T_L4[],HELP!#REF!,1)
&amp;IF(N_LISTS=4,"",I_S&amp;INDEX(T_L5[],HELP!#REF!,1)
&amp;IF(N_LISTS=5,"",I_S&amp;INDEX(T_L6[],HELP!#REF!,1))))))),"")</f>
        <v/>
      </c>
      <c r="B7" t="s">
        <v>48</v>
      </c>
    </row>
    <row r="8" spans="1:2" x14ac:dyDescent="0.2">
      <c r="A8" s="7" t="str">
        <f ca="1">IFERROR(IF(HELP!$F4&gt;N,"",INDEX(T_L1[],HELP!#REF!,1)
&amp;IF(N_LISTS=1,"",I_S&amp;INDEX(T_L2[],HELP!#REF!,1)
&amp;IF(N_LISTS=2,"",I_S&amp;INDEX(T_L3[],HELP!#REF!,1)
&amp;IF(N_LISTS=3,"",I_S&amp;INDEX(T_L4[],HELP!#REF!,1)
&amp;IF(N_LISTS=4,"",I_S&amp;INDEX(T_L5[],HELP!#REF!,1)
&amp;IF(N_LISTS=5,"",I_S&amp;INDEX(T_L6[],HELP!#REF!,1))))))),"")</f>
        <v/>
      </c>
      <c r="B8" t="s">
        <v>49</v>
      </c>
    </row>
    <row r="9" spans="1:2" x14ac:dyDescent="0.2">
      <c r="A9" s="7" t="str">
        <f ca="1">IFERROR(IF(HELP!$F5&gt;N,"",INDEX(T_L1[],HELP!#REF!,1)
&amp;IF(N_LISTS=1,"",I_S&amp;INDEX(T_L2[],HELP!#REF!,1)
&amp;IF(N_LISTS=2,"",I_S&amp;INDEX(T_L3[],HELP!#REF!,1)
&amp;IF(N_LISTS=3,"",I_S&amp;INDEX(T_L4[],HELP!#REF!,1)
&amp;IF(N_LISTS=4,"",I_S&amp;INDEX(T_L5[],HELP!#REF!,1)
&amp;IF(N_LISTS=5,"",I_S&amp;INDEX(T_L6[],HELP!#REF!,1))))))),"")</f>
        <v/>
      </c>
      <c r="B9" t="s">
        <v>50</v>
      </c>
    </row>
    <row r="10" spans="1:2" x14ac:dyDescent="0.2">
      <c r="A10" s="7" t="str">
        <f ca="1">IFERROR(IF(HELP!$F6&gt;N,"",INDEX(T_L1[],HELP!#REF!,1)
&amp;IF(N_LISTS=1,"",I_S&amp;INDEX(T_L2[],HELP!#REF!,1)
&amp;IF(N_LISTS=2,"",I_S&amp;INDEX(T_L3[],HELP!#REF!,1)
&amp;IF(N_LISTS=3,"",I_S&amp;INDEX(T_L4[],HELP!#REF!,1)
&amp;IF(N_LISTS=4,"",I_S&amp;INDEX(T_L5[],HELP!#REF!,1)
&amp;IF(N_LISTS=5,"",I_S&amp;INDEX(T_L6[],HELP!#REF!,1))))))),"")</f>
        <v/>
      </c>
      <c r="B10" t="s">
        <v>51</v>
      </c>
    </row>
    <row r="11" spans="1:2" x14ac:dyDescent="0.2">
      <c r="A11" s="7" t="str">
        <f ca="1">IFERROR(IF(HELP!$F7&gt;N,"",INDEX(T_L1[],HELP!#REF!,1)
&amp;IF(N_LISTS=1,"",I_S&amp;INDEX(T_L2[],HELP!#REF!,1)
&amp;IF(N_LISTS=2,"",I_S&amp;INDEX(T_L3[],HELP!#REF!,1)
&amp;IF(N_LISTS=3,"",I_S&amp;INDEX(T_L4[],HELP!#REF!,1)
&amp;IF(N_LISTS=4,"",I_S&amp;INDEX(T_L5[],HELP!#REF!,1)
&amp;IF(N_LISTS=5,"",I_S&amp;INDEX(T_L6[],HELP!#REF!,1))))))),"")</f>
        <v/>
      </c>
      <c r="B11" t="s">
        <v>52</v>
      </c>
    </row>
    <row r="12" spans="1:2" x14ac:dyDescent="0.2">
      <c r="A12" s="7" t="str">
        <f ca="1">IFERROR(IF(HELP!$F8&gt;N,"",INDEX(T_L1[],HELP!#REF!,1)
&amp;IF(N_LISTS=1,"",I_S&amp;INDEX(T_L2[],HELP!#REF!,1)
&amp;IF(N_LISTS=2,"",I_S&amp;INDEX(T_L3[],HELP!#REF!,1)
&amp;IF(N_LISTS=3,"",I_S&amp;INDEX(T_L4[],HELP!#REF!,1)
&amp;IF(N_LISTS=4,"",I_S&amp;INDEX(T_L5[],HELP!#REF!,1)
&amp;IF(N_LISTS=5,"",I_S&amp;INDEX(T_L6[],HELP!#REF!,1))))))),"")</f>
        <v/>
      </c>
      <c r="B12" t="s">
        <v>53</v>
      </c>
    </row>
    <row r="13" spans="1:2" x14ac:dyDescent="0.2">
      <c r="A13" s="7" t="str">
        <f ca="1">IFERROR(IF(HELP!$F9&gt;N,"",INDEX(T_L1[],HELP!#REF!,1)
&amp;IF(N_LISTS=1,"",I_S&amp;INDEX(T_L2[],HELP!#REF!,1)
&amp;IF(N_LISTS=2,"",I_S&amp;INDEX(T_L3[],HELP!#REF!,1)
&amp;IF(N_LISTS=3,"",I_S&amp;INDEX(T_L4[],HELP!#REF!,1)
&amp;IF(N_LISTS=4,"",I_S&amp;INDEX(T_L5[],HELP!#REF!,1)
&amp;IF(N_LISTS=5,"",I_S&amp;INDEX(T_L6[],HELP!#REF!,1))))))),"")</f>
        <v/>
      </c>
      <c r="B13" t="s">
        <v>54</v>
      </c>
    </row>
    <row r="14" spans="1:2" x14ac:dyDescent="0.2">
      <c r="A14" s="7" t="str">
        <f ca="1">IFERROR(IF(HELP!$F10&gt;N,"",INDEX(T_L1[],HELP!#REF!,1)
&amp;IF(N_LISTS=1,"",I_S&amp;INDEX(T_L2[],HELP!#REF!,1)
&amp;IF(N_LISTS=2,"",I_S&amp;INDEX(T_L3[],HELP!#REF!,1)
&amp;IF(N_LISTS=3,"",I_S&amp;INDEX(T_L4[],HELP!#REF!,1)
&amp;IF(N_LISTS=4,"",I_S&amp;INDEX(T_L5[],HELP!#REF!,1)
&amp;IF(N_LISTS=5,"",I_S&amp;INDEX(T_L6[],HELP!#REF!,1))))))),"")</f>
        <v/>
      </c>
      <c r="B14" t="s">
        <v>55</v>
      </c>
    </row>
    <row r="15" spans="1:2" x14ac:dyDescent="0.2">
      <c r="A15" s="7" t="str">
        <f ca="1">IFERROR(IF(HELP!$F11&gt;N,"",INDEX(T_L1[],HELP!#REF!,1)
&amp;IF(N_LISTS=1,"",I_S&amp;INDEX(T_L2[],HELP!#REF!,1)
&amp;IF(N_LISTS=2,"",I_S&amp;INDEX(T_L3[],HELP!#REF!,1)
&amp;IF(N_LISTS=3,"",I_S&amp;INDEX(T_L4[],HELP!#REF!,1)
&amp;IF(N_LISTS=4,"",I_S&amp;INDEX(T_L5[],HELP!#REF!,1)
&amp;IF(N_LISTS=5,"",I_S&amp;INDEX(T_L6[],HELP!#REF!,1))))))),"")</f>
        <v/>
      </c>
      <c r="B15" t="s">
        <v>56</v>
      </c>
    </row>
    <row r="16" spans="1:2" x14ac:dyDescent="0.2">
      <c r="A16" s="7" t="str">
        <f ca="1">IFERROR(IF(HELP!$F12&gt;N,"",INDEX(T_L1[],HELP!#REF!,1)
&amp;IF(N_LISTS=1,"",I_S&amp;INDEX(T_L2[],HELP!#REF!,1)
&amp;IF(N_LISTS=2,"",I_S&amp;INDEX(T_L3[],HELP!#REF!,1)
&amp;IF(N_LISTS=3,"",I_S&amp;INDEX(T_L4[],HELP!#REF!,1)
&amp;IF(N_LISTS=4,"",I_S&amp;INDEX(T_L5[],HELP!#REF!,1)
&amp;IF(N_LISTS=5,"",I_S&amp;INDEX(T_L6[],HELP!#REF!,1))))))),"")</f>
        <v/>
      </c>
      <c r="B16" t="s">
        <v>57</v>
      </c>
    </row>
    <row r="17" spans="1:2" x14ac:dyDescent="0.2">
      <c r="A17" s="7" t="str">
        <f ca="1">IFERROR(IF(HELP!$F13&gt;N,"",INDEX(T_L1[],HELP!#REF!,1)
&amp;IF(N_LISTS=1,"",I_S&amp;INDEX(T_L2[],HELP!#REF!,1)
&amp;IF(N_LISTS=2,"",I_S&amp;INDEX(T_L3[],HELP!#REF!,1)
&amp;IF(N_LISTS=3,"",I_S&amp;INDEX(T_L4[],HELP!#REF!,1)
&amp;IF(N_LISTS=4,"",I_S&amp;INDEX(T_L5[],HELP!#REF!,1)
&amp;IF(N_LISTS=5,"",I_S&amp;INDEX(T_L6[],HELP!#REF!,1))))))),"")</f>
        <v/>
      </c>
      <c r="B17" t="s">
        <v>58</v>
      </c>
    </row>
    <row r="18" spans="1:2" x14ac:dyDescent="0.2">
      <c r="A18" s="7" t="str">
        <f ca="1">IFERROR(IF(HELP!$F14&gt;N,"",INDEX(T_L1[],HELP!#REF!,1)
&amp;IF(N_LISTS=1,"",I_S&amp;INDEX(T_L2[],HELP!#REF!,1)
&amp;IF(N_LISTS=2,"",I_S&amp;INDEX(T_L3[],HELP!#REF!,1)
&amp;IF(N_LISTS=3,"",I_S&amp;INDEX(T_L4[],HELP!#REF!,1)
&amp;IF(N_LISTS=4,"",I_S&amp;INDEX(T_L5[],HELP!#REF!,1)
&amp;IF(N_LISTS=5,"",I_S&amp;INDEX(T_L6[],HELP!#REF!,1))))))),"")</f>
        <v/>
      </c>
      <c r="B18" t="s">
        <v>59</v>
      </c>
    </row>
    <row r="19" spans="1:2" x14ac:dyDescent="0.2">
      <c r="A19" s="7" t="str">
        <f ca="1">IFERROR(IF(HELP!$F15&gt;N,"",INDEX(T_L1[],HELP!#REF!,1)
&amp;IF(N_LISTS=1,"",I_S&amp;INDEX(T_L2[],HELP!#REF!,1)
&amp;IF(N_LISTS=2,"",I_S&amp;INDEX(T_L3[],HELP!#REF!,1)
&amp;IF(N_LISTS=3,"",I_S&amp;INDEX(T_L4[],HELP!#REF!,1)
&amp;IF(N_LISTS=4,"",I_S&amp;INDEX(T_L5[],HELP!#REF!,1)
&amp;IF(N_LISTS=5,"",I_S&amp;INDEX(T_L6[],HELP!#REF!,1))))))),"")</f>
        <v/>
      </c>
      <c r="B19" t="s">
        <v>60</v>
      </c>
    </row>
    <row r="20" spans="1:2" x14ac:dyDescent="0.2">
      <c r="A20" s="7" t="str">
        <f ca="1">IFERROR(IF(HELP!$F16&gt;N,"",INDEX(T_L1[],HELP!#REF!,1)
&amp;IF(N_LISTS=1,"",I_S&amp;INDEX(T_L2[],HELP!#REF!,1)
&amp;IF(N_LISTS=2,"",I_S&amp;INDEX(T_L3[],HELP!#REF!,1)
&amp;IF(N_LISTS=3,"",I_S&amp;INDEX(T_L4[],HELP!#REF!,1)
&amp;IF(N_LISTS=4,"",I_S&amp;INDEX(T_L5[],HELP!#REF!,1)
&amp;IF(N_LISTS=5,"",I_S&amp;INDEX(T_L6[],HELP!#REF!,1))))))),"")</f>
        <v/>
      </c>
      <c r="B20" t="s">
        <v>61</v>
      </c>
    </row>
    <row r="21" spans="1:2" x14ac:dyDescent="0.2">
      <c r="A21" s="7" t="str">
        <f ca="1">IFERROR(IF(HELP!$F17&gt;N,"",INDEX(T_L1[],HELP!#REF!,1)
&amp;IF(N_LISTS=1,"",I_S&amp;INDEX(T_L2[],HELP!#REF!,1)
&amp;IF(N_LISTS=2,"",I_S&amp;INDEX(T_L3[],HELP!#REF!,1)
&amp;IF(N_LISTS=3,"",I_S&amp;INDEX(T_L4[],HELP!#REF!,1)
&amp;IF(N_LISTS=4,"",I_S&amp;INDEX(T_L5[],HELP!#REF!,1)
&amp;IF(N_LISTS=5,"",I_S&amp;INDEX(T_L6[],HELP!#REF!,1))))))),"")</f>
        <v/>
      </c>
      <c r="B21" t="s">
        <v>62</v>
      </c>
    </row>
    <row r="22" spans="1:2" x14ac:dyDescent="0.2">
      <c r="A22" s="7" t="str">
        <f ca="1">IFERROR(IF(HELP!$F18&gt;N,"",INDEX(T_L1[],HELP!#REF!,1)
&amp;IF(N_LISTS=1,"",I_S&amp;INDEX(T_L2[],HELP!#REF!,1)
&amp;IF(N_LISTS=2,"",I_S&amp;INDEX(T_L3[],HELP!#REF!,1)
&amp;IF(N_LISTS=3,"",I_S&amp;INDEX(T_L4[],HELP!#REF!,1)
&amp;IF(N_LISTS=4,"",I_S&amp;INDEX(T_L5[],HELP!#REF!,1)
&amp;IF(N_LISTS=5,"",I_S&amp;INDEX(T_L6[],HELP!#REF!,1))))))),"")</f>
        <v/>
      </c>
      <c r="B22" t="s">
        <v>63</v>
      </c>
    </row>
    <row r="23" spans="1:2" x14ac:dyDescent="0.2">
      <c r="A23" s="7" t="str">
        <f ca="1">IFERROR(IF(HELP!$F19&gt;N,"",INDEX(T_L1[],HELP!#REF!,1)
&amp;IF(N_LISTS=1,"",I_S&amp;INDEX(T_L2[],HELP!#REF!,1)
&amp;IF(N_LISTS=2,"",I_S&amp;INDEX(T_L3[],HELP!#REF!,1)
&amp;IF(N_LISTS=3,"",I_S&amp;INDEX(T_L4[],HELP!#REF!,1)
&amp;IF(N_LISTS=4,"",I_S&amp;INDEX(T_L5[],HELP!#REF!,1)
&amp;IF(N_LISTS=5,"",I_S&amp;INDEX(T_L6[],HELP!#REF!,1))))))),"")</f>
        <v/>
      </c>
      <c r="B23" t="s">
        <v>64</v>
      </c>
    </row>
    <row r="24" spans="1:2" x14ac:dyDescent="0.2">
      <c r="A24" s="7" t="str">
        <f ca="1">IFERROR(IF(HELP!$F20&gt;N,"",INDEX(T_L1[],HELP!#REF!,1)
&amp;IF(N_LISTS=1,"",I_S&amp;INDEX(T_L2[],HELP!#REF!,1)
&amp;IF(N_LISTS=2,"",I_S&amp;INDEX(T_L3[],HELP!#REF!,1)
&amp;IF(N_LISTS=3,"",I_S&amp;INDEX(T_L4[],HELP!#REF!,1)
&amp;IF(N_LISTS=4,"",I_S&amp;INDEX(T_L5[],HELP!#REF!,1)
&amp;IF(N_LISTS=5,"",I_S&amp;INDEX(T_L6[],HELP!#REF!,1))))))),"")</f>
        <v/>
      </c>
      <c r="B24" t="s">
        <v>65</v>
      </c>
    </row>
    <row r="25" spans="1:2" x14ac:dyDescent="0.2">
      <c r="A25" s="7" t="str">
        <f ca="1">IFERROR(IF(HELP!$F21&gt;N,"",INDEX(T_L1[],HELP!#REF!,1)
&amp;IF(N_LISTS=1,"",I_S&amp;INDEX(T_L2[],HELP!#REF!,1)
&amp;IF(N_LISTS=2,"",I_S&amp;INDEX(T_L3[],HELP!#REF!,1)
&amp;IF(N_LISTS=3,"",I_S&amp;INDEX(T_L4[],HELP!#REF!,1)
&amp;IF(N_LISTS=4,"",I_S&amp;INDEX(T_L5[],HELP!#REF!,1)
&amp;IF(N_LISTS=5,"",I_S&amp;INDEX(T_L6[],HELP!#REF!,1))))))),"")</f>
        <v/>
      </c>
      <c r="B25" t="s">
        <v>66</v>
      </c>
    </row>
    <row r="26" spans="1:2" x14ac:dyDescent="0.2">
      <c r="A26" s="7" t="str">
        <f ca="1">IFERROR(IF(HELP!$F22&gt;N,"",INDEX(T_L1[],HELP!#REF!,1)
&amp;IF(N_LISTS=1,"",I_S&amp;INDEX(T_L2[],HELP!#REF!,1)
&amp;IF(N_LISTS=2,"",I_S&amp;INDEX(T_L3[],HELP!#REF!,1)
&amp;IF(N_LISTS=3,"",I_S&amp;INDEX(T_L4[],HELP!#REF!,1)
&amp;IF(N_LISTS=4,"",I_S&amp;INDEX(T_L5[],HELP!#REF!,1)
&amp;IF(N_LISTS=5,"",I_S&amp;INDEX(T_L6[],HELP!#REF!,1))))))),"")</f>
        <v/>
      </c>
      <c r="B26" t="s">
        <v>67</v>
      </c>
    </row>
    <row r="27" spans="1:2" x14ac:dyDescent="0.2">
      <c r="A27" s="7" t="str">
        <f ca="1">IFERROR(IF(HELP!$F23&gt;N,"",INDEX(T_L1[],HELP!#REF!,1)
&amp;IF(N_LISTS=1,"",I_S&amp;INDEX(T_L2[],HELP!#REF!,1)
&amp;IF(N_LISTS=2,"",I_S&amp;INDEX(T_L3[],HELP!#REF!,1)
&amp;IF(N_LISTS=3,"",I_S&amp;INDEX(T_L4[],HELP!#REF!,1)
&amp;IF(N_LISTS=4,"",I_S&amp;INDEX(T_L5[],HELP!#REF!,1)
&amp;IF(N_LISTS=5,"",I_S&amp;INDEX(T_L6[],HELP!#REF!,1))))))),"")</f>
        <v/>
      </c>
      <c r="B27" t="s">
        <v>68</v>
      </c>
    </row>
    <row r="28" spans="1:2" x14ac:dyDescent="0.2">
      <c r="B28" t="s">
        <v>69</v>
      </c>
    </row>
    <row r="29" spans="1:2" x14ac:dyDescent="0.2">
      <c r="B29" t="s">
        <v>70</v>
      </c>
    </row>
    <row r="30" spans="1:2" x14ac:dyDescent="0.2">
      <c r="B30" t="s">
        <v>71</v>
      </c>
    </row>
    <row r="31" spans="1:2" x14ac:dyDescent="0.2">
      <c r="B31" t="s">
        <v>72</v>
      </c>
    </row>
    <row r="32" spans="1:2" x14ac:dyDescent="0.2">
      <c r="B32" t="s">
        <v>73</v>
      </c>
    </row>
    <row r="33" spans="2:2" x14ac:dyDescent="0.2">
      <c r="B33" t="s">
        <v>74</v>
      </c>
    </row>
    <row r="34" spans="2:2" x14ac:dyDescent="0.2">
      <c r="B34" t="s">
        <v>75</v>
      </c>
    </row>
    <row r="35" spans="2:2" x14ac:dyDescent="0.2">
      <c r="B35" t="s">
        <v>76</v>
      </c>
    </row>
    <row r="36" spans="2:2" x14ac:dyDescent="0.2">
      <c r="B36" t="s">
        <v>77</v>
      </c>
    </row>
    <row r="37" spans="2:2" x14ac:dyDescent="0.2">
      <c r="B37" t="s">
        <v>78</v>
      </c>
    </row>
    <row r="38" spans="2:2" x14ac:dyDescent="0.2">
      <c r="B38" t="s">
        <v>79</v>
      </c>
    </row>
    <row r="39" spans="2:2" x14ac:dyDescent="0.2">
      <c r="B39" t="s">
        <v>80</v>
      </c>
    </row>
    <row r="40" spans="2:2" x14ac:dyDescent="0.2">
      <c r="B40" t="s">
        <v>81</v>
      </c>
    </row>
    <row r="41" spans="2:2" x14ac:dyDescent="0.2">
      <c r="B41" t="s">
        <v>82</v>
      </c>
    </row>
    <row r="42" spans="2:2" x14ac:dyDescent="0.2">
      <c r="B42" t="s">
        <v>83</v>
      </c>
    </row>
    <row r="43" spans="2:2" x14ac:dyDescent="0.2">
      <c r="B43" t="s">
        <v>84</v>
      </c>
    </row>
    <row r="44" spans="2:2" x14ac:dyDescent="0.2">
      <c r="B44" t="s">
        <v>85</v>
      </c>
    </row>
    <row r="45" spans="2:2" x14ac:dyDescent="0.2">
      <c r="B45" t="s">
        <v>86</v>
      </c>
    </row>
    <row r="46" spans="2:2" x14ac:dyDescent="0.2">
      <c r="B46" t="s">
        <v>87</v>
      </c>
    </row>
    <row r="47" spans="2:2" x14ac:dyDescent="0.2">
      <c r="B47" t="s">
        <v>88</v>
      </c>
    </row>
    <row r="48" spans="2:2" x14ac:dyDescent="0.2">
      <c r="B48" t="s">
        <v>89</v>
      </c>
    </row>
    <row r="49" spans="2:2" x14ac:dyDescent="0.2">
      <c r="B49" t="s">
        <v>90</v>
      </c>
    </row>
    <row r="50" spans="2:2" x14ac:dyDescent="0.2">
      <c r="B50" t="s">
        <v>91</v>
      </c>
    </row>
    <row r="51" spans="2:2" x14ac:dyDescent="0.2">
      <c r="B51" t="s">
        <v>92</v>
      </c>
    </row>
    <row r="52" spans="2:2" x14ac:dyDescent="0.2">
      <c r="B52" t="s">
        <v>93</v>
      </c>
    </row>
    <row r="53" spans="2:2" x14ac:dyDescent="0.2">
      <c r="B53" t="s">
        <v>94</v>
      </c>
    </row>
    <row r="54" spans="2:2" x14ac:dyDescent="0.2">
      <c r="B54" t="s">
        <v>95</v>
      </c>
    </row>
    <row r="55" spans="2:2" x14ac:dyDescent="0.2">
      <c r="B55" t="s">
        <v>96</v>
      </c>
    </row>
    <row r="56" spans="2:2" x14ac:dyDescent="0.2">
      <c r="B56" t="s">
        <v>97</v>
      </c>
    </row>
    <row r="57" spans="2:2" x14ac:dyDescent="0.2">
      <c r="B57" t="s">
        <v>98</v>
      </c>
    </row>
    <row r="58" spans="2:2" x14ac:dyDescent="0.2">
      <c r="B58" t="s">
        <v>99</v>
      </c>
    </row>
    <row r="59" spans="2:2" x14ac:dyDescent="0.2">
      <c r="B59" t="s">
        <v>100</v>
      </c>
    </row>
    <row r="60" spans="2:2" x14ac:dyDescent="0.2">
      <c r="B60" t="s">
        <v>101</v>
      </c>
    </row>
    <row r="61" spans="2:2" x14ac:dyDescent="0.2">
      <c r="B61" t="s">
        <v>102</v>
      </c>
    </row>
    <row r="62" spans="2:2" x14ac:dyDescent="0.2">
      <c r="B62" t="s">
        <v>103</v>
      </c>
    </row>
    <row r="63" spans="2:2" x14ac:dyDescent="0.2">
      <c r="B63" t="s">
        <v>104</v>
      </c>
    </row>
    <row r="64" spans="2:2" x14ac:dyDescent="0.2">
      <c r="B64" t="s">
        <v>105</v>
      </c>
    </row>
    <row r="65" spans="2:2" x14ac:dyDescent="0.2">
      <c r="B65" t="s">
        <v>106</v>
      </c>
    </row>
    <row r="66" spans="2:2" x14ac:dyDescent="0.2">
      <c r="B66" t="s">
        <v>107</v>
      </c>
    </row>
    <row r="67" spans="2:2" x14ac:dyDescent="0.2">
      <c r="B67" t="s">
        <v>108</v>
      </c>
    </row>
    <row r="68" spans="2:2" x14ac:dyDescent="0.2">
      <c r="B68" t="s">
        <v>109</v>
      </c>
    </row>
    <row r="69" spans="2:2" x14ac:dyDescent="0.2">
      <c r="B69" t="s">
        <v>110</v>
      </c>
    </row>
    <row r="70" spans="2:2" x14ac:dyDescent="0.2">
      <c r="B70" t="s">
        <v>111</v>
      </c>
    </row>
    <row r="71" spans="2:2" x14ac:dyDescent="0.2">
      <c r="B71" t="s">
        <v>112</v>
      </c>
    </row>
    <row r="72" spans="2:2" x14ac:dyDescent="0.2">
      <c r="B72" t="s">
        <v>113</v>
      </c>
    </row>
    <row r="73" spans="2:2" x14ac:dyDescent="0.2">
      <c r="B73" t="s">
        <v>114</v>
      </c>
    </row>
    <row r="74" spans="2:2" x14ac:dyDescent="0.2">
      <c r="B74" t="s">
        <v>115</v>
      </c>
    </row>
    <row r="75" spans="2:2" x14ac:dyDescent="0.2">
      <c r="B75" t="s">
        <v>116</v>
      </c>
    </row>
    <row r="76" spans="2:2" x14ac:dyDescent="0.2">
      <c r="B76" t="s">
        <v>117</v>
      </c>
    </row>
    <row r="77" spans="2:2" x14ac:dyDescent="0.2">
      <c r="B77" t="s">
        <v>118</v>
      </c>
    </row>
    <row r="78" spans="2:2" x14ac:dyDescent="0.2">
      <c r="B78" t="s">
        <v>119</v>
      </c>
    </row>
    <row r="79" spans="2:2" x14ac:dyDescent="0.2">
      <c r="B79" t="s">
        <v>120</v>
      </c>
    </row>
    <row r="80" spans="2:2" x14ac:dyDescent="0.2">
      <c r="B80" t="s">
        <v>121</v>
      </c>
    </row>
    <row r="81" spans="2:2" x14ac:dyDescent="0.2">
      <c r="B81" t="s">
        <v>122</v>
      </c>
    </row>
    <row r="82" spans="2:2" x14ac:dyDescent="0.2">
      <c r="B82" t="s">
        <v>123</v>
      </c>
    </row>
    <row r="83" spans="2:2" x14ac:dyDescent="0.2">
      <c r="B83" t="s">
        <v>124</v>
      </c>
    </row>
    <row r="84" spans="2:2" x14ac:dyDescent="0.2">
      <c r="B84" t="s">
        <v>125</v>
      </c>
    </row>
    <row r="85" spans="2:2" x14ac:dyDescent="0.2">
      <c r="B85" t="s">
        <v>126</v>
      </c>
    </row>
    <row r="86" spans="2:2" x14ac:dyDescent="0.2">
      <c r="B86" t="s">
        <v>127</v>
      </c>
    </row>
    <row r="87" spans="2:2" x14ac:dyDescent="0.2">
      <c r="B87" t="s">
        <v>128</v>
      </c>
    </row>
    <row r="88" spans="2:2" x14ac:dyDescent="0.2">
      <c r="B88" t="s">
        <v>129</v>
      </c>
    </row>
    <row r="89" spans="2:2" x14ac:dyDescent="0.2">
      <c r="B89" t="s">
        <v>130</v>
      </c>
    </row>
    <row r="90" spans="2:2" x14ac:dyDescent="0.2">
      <c r="B90" t="s">
        <v>131</v>
      </c>
    </row>
    <row r="91" spans="2:2" x14ac:dyDescent="0.2">
      <c r="B91" t="s">
        <v>132</v>
      </c>
    </row>
    <row r="92" spans="2:2" x14ac:dyDescent="0.2">
      <c r="B92" t="s">
        <v>133</v>
      </c>
    </row>
    <row r="93" spans="2:2" x14ac:dyDescent="0.2">
      <c r="B93" t="s">
        <v>134</v>
      </c>
    </row>
    <row r="94" spans="2:2" x14ac:dyDescent="0.2">
      <c r="B94" t="s">
        <v>135</v>
      </c>
    </row>
    <row r="95" spans="2:2" x14ac:dyDescent="0.2">
      <c r="B95" t="s">
        <v>136</v>
      </c>
    </row>
    <row r="96" spans="2:2" x14ac:dyDescent="0.2">
      <c r="B96" t="s">
        <v>137</v>
      </c>
    </row>
    <row r="97" spans="2:2" x14ac:dyDescent="0.2">
      <c r="B97" t="s">
        <v>138</v>
      </c>
    </row>
    <row r="98" spans="2:2" x14ac:dyDescent="0.2">
      <c r="B98" t="s">
        <v>139</v>
      </c>
    </row>
    <row r="99" spans="2:2" x14ac:dyDescent="0.2">
      <c r="B99" t="s">
        <v>140</v>
      </c>
    </row>
    <row r="100" spans="2:2" x14ac:dyDescent="0.2">
      <c r="B100" t="s">
        <v>141</v>
      </c>
    </row>
    <row r="101" spans="2:2" x14ac:dyDescent="0.2">
      <c r="B101" t="s">
        <v>142</v>
      </c>
    </row>
    <row r="102" spans="2:2" x14ac:dyDescent="0.2">
      <c r="B102" t="s">
        <v>143</v>
      </c>
    </row>
    <row r="103" spans="2:2" x14ac:dyDescent="0.2">
      <c r="B103" t="s">
        <v>144</v>
      </c>
    </row>
    <row r="104" spans="2:2" x14ac:dyDescent="0.2">
      <c r="B104" t="s">
        <v>145</v>
      </c>
    </row>
    <row r="105" spans="2:2" x14ac:dyDescent="0.2">
      <c r="B105" t="s">
        <v>146</v>
      </c>
    </row>
    <row r="106" spans="2:2" x14ac:dyDescent="0.2">
      <c r="B106" t="s">
        <v>147</v>
      </c>
    </row>
    <row r="107" spans="2:2" x14ac:dyDescent="0.2">
      <c r="B107" t="s">
        <v>148</v>
      </c>
    </row>
    <row r="108" spans="2:2" x14ac:dyDescent="0.2">
      <c r="B108" t="s">
        <v>149</v>
      </c>
    </row>
    <row r="109" spans="2:2" x14ac:dyDescent="0.2">
      <c r="B109" t="s">
        <v>150</v>
      </c>
    </row>
    <row r="110" spans="2:2" x14ac:dyDescent="0.2">
      <c r="B110" t="s">
        <v>151</v>
      </c>
    </row>
    <row r="111" spans="2:2" x14ac:dyDescent="0.2">
      <c r="B111" t="s">
        <v>152</v>
      </c>
    </row>
    <row r="112" spans="2:2" x14ac:dyDescent="0.2">
      <c r="B112" t="s">
        <v>153</v>
      </c>
    </row>
    <row r="113" spans="2:2" x14ac:dyDescent="0.2">
      <c r="B113" t="s">
        <v>154</v>
      </c>
    </row>
    <row r="114" spans="2:2" x14ac:dyDescent="0.2">
      <c r="B114" t="s">
        <v>155</v>
      </c>
    </row>
    <row r="115" spans="2:2" x14ac:dyDescent="0.2">
      <c r="B115" t="s">
        <v>156</v>
      </c>
    </row>
    <row r="116" spans="2:2" x14ac:dyDescent="0.2">
      <c r="B116" t="s">
        <v>157</v>
      </c>
    </row>
    <row r="117" spans="2:2" x14ac:dyDescent="0.2">
      <c r="B117" t="s">
        <v>158</v>
      </c>
    </row>
    <row r="118" spans="2:2" x14ac:dyDescent="0.2">
      <c r="B118" t="s">
        <v>159</v>
      </c>
    </row>
    <row r="119" spans="2:2" x14ac:dyDescent="0.2">
      <c r="B119" t="s">
        <v>160</v>
      </c>
    </row>
    <row r="120" spans="2:2" x14ac:dyDescent="0.2">
      <c r="B120" t="s">
        <v>161</v>
      </c>
    </row>
    <row r="121" spans="2:2" x14ac:dyDescent="0.2">
      <c r="B121" t="s">
        <v>162</v>
      </c>
    </row>
    <row r="122" spans="2:2" x14ac:dyDescent="0.2">
      <c r="B122" t="s">
        <v>163</v>
      </c>
    </row>
    <row r="123" spans="2:2" x14ac:dyDescent="0.2">
      <c r="B123" t="s">
        <v>164</v>
      </c>
    </row>
    <row r="124" spans="2:2" x14ac:dyDescent="0.2">
      <c r="B124" t="s">
        <v>165</v>
      </c>
    </row>
    <row r="125" spans="2:2" x14ac:dyDescent="0.2">
      <c r="B125" t="s">
        <v>166</v>
      </c>
    </row>
    <row r="126" spans="2:2" x14ac:dyDescent="0.2">
      <c r="B126" t="s">
        <v>167</v>
      </c>
    </row>
    <row r="127" spans="2:2" x14ac:dyDescent="0.2">
      <c r="B127" t="s">
        <v>168</v>
      </c>
    </row>
    <row r="128" spans="2:2" x14ac:dyDescent="0.2">
      <c r="B128" t="s">
        <v>169</v>
      </c>
    </row>
    <row r="129" spans="2:2" x14ac:dyDescent="0.2">
      <c r="B129" t="s">
        <v>170</v>
      </c>
    </row>
    <row r="130" spans="2:2" x14ac:dyDescent="0.2">
      <c r="B130" t="s">
        <v>171</v>
      </c>
    </row>
    <row r="131" spans="2:2" x14ac:dyDescent="0.2">
      <c r="B131" t="s">
        <v>172</v>
      </c>
    </row>
    <row r="132" spans="2:2" x14ac:dyDescent="0.2">
      <c r="B132" t="s">
        <v>173</v>
      </c>
    </row>
    <row r="133" spans="2:2" x14ac:dyDescent="0.2">
      <c r="B133" t="s">
        <v>174</v>
      </c>
    </row>
    <row r="134" spans="2:2" x14ac:dyDescent="0.2">
      <c r="B134" t="s">
        <v>175</v>
      </c>
    </row>
    <row r="135" spans="2:2" x14ac:dyDescent="0.2">
      <c r="B135" t="s">
        <v>176</v>
      </c>
    </row>
    <row r="136" spans="2:2" x14ac:dyDescent="0.2">
      <c r="B136" t="s">
        <v>177</v>
      </c>
    </row>
    <row r="137" spans="2:2" x14ac:dyDescent="0.2">
      <c r="B137" t="s">
        <v>178</v>
      </c>
    </row>
    <row r="138" spans="2:2" x14ac:dyDescent="0.2">
      <c r="B138" t="s">
        <v>179</v>
      </c>
    </row>
    <row r="139" spans="2:2" x14ac:dyDescent="0.2">
      <c r="B139" t="s">
        <v>180</v>
      </c>
    </row>
    <row r="140" spans="2:2" x14ac:dyDescent="0.2">
      <c r="B140" t="s">
        <v>181</v>
      </c>
    </row>
    <row r="141" spans="2:2" x14ac:dyDescent="0.2">
      <c r="B141" t="s">
        <v>182</v>
      </c>
    </row>
    <row r="142" spans="2:2" x14ac:dyDescent="0.2">
      <c r="B142" t="s">
        <v>183</v>
      </c>
    </row>
    <row r="143" spans="2:2" x14ac:dyDescent="0.2">
      <c r="B143" t="s">
        <v>184</v>
      </c>
    </row>
    <row r="144" spans="2:2" x14ac:dyDescent="0.2">
      <c r="B144" t="s">
        <v>185</v>
      </c>
    </row>
    <row r="145" spans="2:2" x14ac:dyDescent="0.2">
      <c r="B145" t="s">
        <v>186</v>
      </c>
    </row>
    <row r="146" spans="2:2" x14ac:dyDescent="0.2">
      <c r="B146" t="s">
        <v>187</v>
      </c>
    </row>
    <row r="147" spans="2:2" x14ac:dyDescent="0.2">
      <c r="B147" t="s">
        <v>188</v>
      </c>
    </row>
    <row r="148" spans="2:2" x14ac:dyDescent="0.2">
      <c r="B148" t="s">
        <v>189</v>
      </c>
    </row>
    <row r="149" spans="2:2" x14ac:dyDescent="0.2">
      <c r="B149" t="s">
        <v>190</v>
      </c>
    </row>
    <row r="150" spans="2:2" x14ac:dyDescent="0.2">
      <c r="B150" t="s">
        <v>191</v>
      </c>
    </row>
    <row r="151" spans="2:2" x14ac:dyDescent="0.2">
      <c r="B151" t="s">
        <v>192</v>
      </c>
    </row>
    <row r="152" spans="2:2" x14ac:dyDescent="0.2">
      <c r="B152" t="s">
        <v>193</v>
      </c>
    </row>
    <row r="153" spans="2:2" x14ac:dyDescent="0.2">
      <c r="B153" t="s">
        <v>194</v>
      </c>
    </row>
    <row r="154" spans="2:2" x14ac:dyDescent="0.2">
      <c r="B154" t="s">
        <v>195</v>
      </c>
    </row>
    <row r="155" spans="2:2" x14ac:dyDescent="0.2">
      <c r="B155" t="s">
        <v>196</v>
      </c>
    </row>
    <row r="156" spans="2:2" x14ac:dyDescent="0.2">
      <c r="B156" t="s">
        <v>197</v>
      </c>
    </row>
    <row r="157" spans="2:2" x14ac:dyDescent="0.2">
      <c r="B157" t="s">
        <v>198</v>
      </c>
    </row>
    <row r="158" spans="2:2" x14ac:dyDescent="0.2">
      <c r="B158" t="s">
        <v>199</v>
      </c>
    </row>
    <row r="159" spans="2:2" x14ac:dyDescent="0.2">
      <c r="B159" t="s">
        <v>200</v>
      </c>
    </row>
    <row r="160" spans="2:2" x14ac:dyDescent="0.2">
      <c r="B160" t="s">
        <v>201</v>
      </c>
    </row>
    <row r="161" spans="2:2" x14ac:dyDescent="0.2">
      <c r="B161" t="s">
        <v>202</v>
      </c>
    </row>
    <row r="162" spans="2:2" x14ac:dyDescent="0.2">
      <c r="B162" t="s">
        <v>203</v>
      </c>
    </row>
    <row r="163" spans="2:2" x14ac:dyDescent="0.2">
      <c r="B163" t="s">
        <v>204</v>
      </c>
    </row>
    <row r="164" spans="2:2" x14ac:dyDescent="0.2">
      <c r="B164" t="s">
        <v>205</v>
      </c>
    </row>
    <row r="165" spans="2:2" x14ac:dyDescent="0.2">
      <c r="B165" t="s">
        <v>206</v>
      </c>
    </row>
    <row r="166" spans="2:2" x14ac:dyDescent="0.2">
      <c r="B166" t="s">
        <v>207</v>
      </c>
    </row>
    <row r="167" spans="2:2" x14ac:dyDescent="0.2">
      <c r="B167" t="s">
        <v>208</v>
      </c>
    </row>
    <row r="168" spans="2:2" x14ac:dyDescent="0.2">
      <c r="B168" t="s">
        <v>209</v>
      </c>
    </row>
    <row r="169" spans="2:2" x14ac:dyDescent="0.2">
      <c r="B169" t="s">
        <v>210</v>
      </c>
    </row>
    <row r="170" spans="2:2" x14ac:dyDescent="0.2">
      <c r="B170" t="s">
        <v>211</v>
      </c>
    </row>
    <row r="171" spans="2:2" x14ac:dyDescent="0.2">
      <c r="B171" t="s">
        <v>212</v>
      </c>
    </row>
    <row r="172" spans="2:2" x14ac:dyDescent="0.2">
      <c r="B172" t="s">
        <v>213</v>
      </c>
    </row>
    <row r="173" spans="2:2" x14ac:dyDescent="0.2">
      <c r="B173" t="s">
        <v>214</v>
      </c>
    </row>
    <row r="174" spans="2:2" x14ac:dyDescent="0.2">
      <c r="B174" t="s">
        <v>215</v>
      </c>
    </row>
    <row r="175" spans="2:2" x14ac:dyDescent="0.2">
      <c r="B175" t="s">
        <v>216</v>
      </c>
    </row>
    <row r="176" spans="2:2" x14ac:dyDescent="0.2">
      <c r="B176" t="s">
        <v>217</v>
      </c>
    </row>
    <row r="177" spans="2:2" x14ac:dyDescent="0.2">
      <c r="B177" t="s">
        <v>218</v>
      </c>
    </row>
    <row r="178" spans="2:2" x14ac:dyDescent="0.2">
      <c r="B178" t="s">
        <v>219</v>
      </c>
    </row>
    <row r="179" spans="2:2" x14ac:dyDescent="0.2">
      <c r="B179" t="s">
        <v>220</v>
      </c>
    </row>
    <row r="180" spans="2:2" x14ac:dyDescent="0.2">
      <c r="B180" t="s">
        <v>221</v>
      </c>
    </row>
    <row r="181" spans="2:2" x14ac:dyDescent="0.2">
      <c r="B181" t="s">
        <v>222</v>
      </c>
    </row>
    <row r="182" spans="2:2" x14ac:dyDescent="0.2">
      <c r="B182" t="s">
        <v>223</v>
      </c>
    </row>
    <row r="183" spans="2:2" x14ac:dyDescent="0.2">
      <c r="B183" t="s">
        <v>224</v>
      </c>
    </row>
    <row r="184" spans="2:2" x14ac:dyDescent="0.2">
      <c r="B184" t="s">
        <v>225</v>
      </c>
    </row>
    <row r="185" spans="2:2" x14ac:dyDescent="0.2">
      <c r="B185" t="s">
        <v>226</v>
      </c>
    </row>
    <row r="186" spans="2:2" x14ac:dyDescent="0.2">
      <c r="B186" t="s">
        <v>227</v>
      </c>
    </row>
    <row r="187" spans="2:2" x14ac:dyDescent="0.2">
      <c r="B187" t="s">
        <v>228</v>
      </c>
    </row>
    <row r="188" spans="2:2" x14ac:dyDescent="0.2">
      <c r="B188" t="s">
        <v>229</v>
      </c>
    </row>
    <row r="189" spans="2:2" x14ac:dyDescent="0.2">
      <c r="B189" t="s">
        <v>230</v>
      </c>
    </row>
    <row r="190" spans="2:2" x14ac:dyDescent="0.2">
      <c r="B190" t="s">
        <v>231</v>
      </c>
    </row>
    <row r="191" spans="2:2" x14ac:dyDescent="0.2">
      <c r="B191" t="s">
        <v>232</v>
      </c>
    </row>
    <row r="192" spans="2:2" x14ac:dyDescent="0.2">
      <c r="B192" t="s">
        <v>233</v>
      </c>
    </row>
    <row r="193" spans="2:2" x14ac:dyDescent="0.2">
      <c r="B193" t="s">
        <v>234</v>
      </c>
    </row>
    <row r="194" spans="2:2" x14ac:dyDescent="0.2">
      <c r="B194" t="s">
        <v>235</v>
      </c>
    </row>
    <row r="195" spans="2:2" x14ac:dyDescent="0.2">
      <c r="B195" t="s">
        <v>236</v>
      </c>
    </row>
    <row r="196" spans="2:2" x14ac:dyDescent="0.2">
      <c r="B196" t="s">
        <v>237</v>
      </c>
    </row>
    <row r="197" spans="2:2" x14ac:dyDescent="0.2">
      <c r="B197" t="s">
        <v>238</v>
      </c>
    </row>
    <row r="198" spans="2:2" x14ac:dyDescent="0.2">
      <c r="B198" t="s">
        <v>239</v>
      </c>
    </row>
    <row r="199" spans="2:2" x14ac:dyDescent="0.2">
      <c r="B199" t="s">
        <v>240</v>
      </c>
    </row>
    <row r="200" spans="2:2" x14ac:dyDescent="0.2">
      <c r="B200" t="s">
        <v>241</v>
      </c>
    </row>
    <row r="201" spans="2:2" x14ac:dyDescent="0.2">
      <c r="B201" t="s">
        <v>242</v>
      </c>
    </row>
    <row r="202" spans="2:2" x14ac:dyDescent="0.2">
      <c r="B202" t="s">
        <v>243</v>
      </c>
    </row>
    <row r="203" spans="2:2" x14ac:dyDescent="0.2">
      <c r="B203" t="s">
        <v>244</v>
      </c>
    </row>
    <row r="204" spans="2:2" x14ac:dyDescent="0.2">
      <c r="B204" t="s">
        <v>245</v>
      </c>
    </row>
    <row r="205" spans="2:2" x14ac:dyDescent="0.2">
      <c r="B205" t="s">
        <v>246</v>
      </c>
    </row>
    <row r="206" spans="2:2" x14ac:dyDescent="0.2">
      <c r="B206" t="s">
        <v>247</v>
      </c>
    </row>
    <row r="207" spans="2:2" x14ac:dyDescent="0.2">
      <c r="B207" t="s">
        <v>248</v>
      </c>
    </row>
    <row r="208" spans="2:2" x14ac:dyDescent="0.2">
      <c r="B208" t="s">
        <v>249</v>
      </c>
    </row>
    <row r="209" spans="2:2" x14ac:dyDescent="0.2">
      <c r="B209" t="s">
        <v>250</v>
      </c>
    </row>
    <row r="210" spans="2:2" x14ac:dyDescent="0.2">
      <c r="B210" t="s">
        <v>251</v>
      </c>
    </row>
    <row r="211" spans="2:2" x14ac:dyDescent="0.2">
      <c r="B211" t="s">
        <v>252</v>
      </c>
    </row>
    <row r="212" spans="2:2" x14ac:dyDescent="0.2">
      <c r="B212" t="s">
        <v>253</v>
      </c>
    </row>
    <row r="213" spans="2:2" x14ac:dyDescent="0.2">
      <c r="B213" t="s">
        <v>254</v>
      </c>
    </row>
    <row r="214" spans="2:2" x14ac:dyDescent="0.2">
      <c r="B214" t="s">
        <v>255</v>
      </c>
    </row>
    <row r="215" spans="2:2" x14ac:dyDescent="0.2">
      <c r="B215" t="s">
        <v>256</v>
      </c>
    </row>
    <row r="216" spans="2:2" x14ac:dyDescent="0.2">
      <c r="B216" t="s">
        <v>257</v>
      </c>
    </row>
    <row r="217" spans="2:2" x14ac:dyDescent="0.2">
      <c r="B217" t="s">
        <v>258</v>
      </c>
    </row>
    <row r="218" spans="2:2" x14ac:dyDescent="0.2">
      <c r="B218" t="s">
        <v>259</v>
      </c>
    </row>
    <row r="219" spans="2:2" x14ac:dyDescent="0.2">
      <c r="B219" t="s">
        <v>260</v>
      </c>
    </row>
    <row r="220" spans="2:2" x14ac:dyDescent="0.2">
      <c r="B220" t="s">
        <v>261</v>
      </c>
    </row>
    <row r="221" spans="2:2" x14ac:dyDescent="0.2">
      <c r="B221" t="s">
        <v>262</v>
      </c>
    </row>
    <row r="222" spans="2:2" x14ac:dyDescent="0.2">
      <c r="B222" t="s">
        <v>263</v>
      </c>
    </row>
    <row r="223" spans="2:2" x14ac:dyDescent="0.2">
      <c r="B223" t="s">
        <v>264</v>
      </c>
    </row>
    <row r="224" spans="2:2" x14ac:dyDescent="0.2">
      <c r="B224" t="s">
        <v>265</v>
      </c>
    </row>
    <row r="225" spans="2:2" x14ac:dyDescent="0.2">
      <c r="B225" t="s">
        <v>266</v>
      </c>
    </row>
    <row r="226" spans="2:2" x14ac:dyDescent="0.2">
      <c r="B226" t="s">
        <v>267</v>
      </c>
    </row>
    <row r="227" spans="2:2" x14ac:dyDescent="0.2">
      <c r="B227" t="s">
        <v>268</v>
      </c>
    </row>
    <row r="228" spans="2:2" x14ac:dyDescent="0.2">
      <c r="B228" t="s">
        <v>269</v>
      </c>
    </row>
    <row r="229" spans="2:2" x14ac:dyDescent="0.2">
      <c r="B229" t="s">
        <v>270</v>
      </c>
    </row>
    <row r="230" spans="2:2" x14ac:dyDescent="0.2">
      <c r="B230" t="s">
        <v>271</v>
      </c>
    </row>
    <row r="231" spans="2:2" x14ac:dyDescent="0.2">
      <c r="B231" t="s">
        <v>272</v>
      </c>
    </row>
    <row r="232" spans="2:2" x14ac:dyDescent="0.2">
      <c r="B232" t="s">
        <v>273</v>
      </c>
    </row>
    <row r="233" spans="2:2" x14ac:dyDescent="0.2">
      <c r="B233" t="s">
        <v>274</v>
      </c>
    </row>
    <row r="234" spans="2:2" x14ac:dyDescent="0.2">
      <c r="B234" t="s">
        <v>275</v>
      </c>
    </row>
    <row r="235" spans="2:2" x14ac:dyDescent="0.2">
      <c r="B235" t="s">
        <v>276</v>
      </c>
    </row>
    <row r="236" spans="2:2" x14ac:dyDescent="0.2">
      <c r="B236" t="s">
        <v>277</v>
      </c>
    </row>
    <row r="237" spans="2:2" x14ac:dyDescent="0.2">
      <c r="B237" t="s">
        <v>278</v>
      </c>
    </row>
    <row r="238" spans="2:2" x14ac:dyDescent="0.2">
      <c r="B238" t="s">
        <v>279</v>
      </c>
    </row>
    <row r="239" spans="2:2" x14ac:dyDescent="0.2">
      <c r="B239" t="s">
        <v>280</v>
      </c>
    </row>
    <row r="240" spans="2:2" x14ac:dyDescent="0.2">
      <c r="B240" t="s">
        <v>281</v>
      </c>
    </row>
    <row r="241" spans="2:2" x14ac:dyDescent="0.2">
      <c r="B241" t="s">
        <v>282</v>
      </c>
    </row>
    <row r="242" spans="2:2" x14ac:dyDescent="0.2">
      <c r="B242" t="s">
        <v>283</v>
      </c>
    </row>
    <row r="243" spans="2:2" x14ac:dyDescent="0.2">
      <c r="B243" t="s">
        <v>284</v>
      </c>
    </row>
    <row r="244" spans="2:2" x14ac:dyDescent="0.2">
      <c r="B244" t="s">
        <v>285</v>
      </c>
    </row>
    <row r="245" spans="2:2" x14ac:dyDescent="0.2">
      <c r="B245" t="s">
        <v>286</v>
      </c>
    </row>
    <row r="246" spans="2:2" x14ac:dyDescent="0.2">
      <c r="B246" t="s">
        <v>287</v>
      </c>
    </row>
    <row r="247" spans="2:2" x14ac:dyDescent="0.2">
      <c r="B247" t="s">
        <v>288</v>
      </c>
    </row>
    <row r="248" spans="2:2" x14ac:dyDescent="0.2">
      <c r="B248" t="s">
        <v>289</v>
      </c>
    </row>
    <row r="249" spans="2:2" x14ac:dyDescent="0.2">
      <c r="B249" t="s">
        <v>290</v>
      </c>
    </row>
    <row r="250" spans="2:2" x14ac:dyDescent="0.2">
      <c r="B250" t="s">
        <v>291</v>
      </c>
    </row>
    <row r="251" spans="2:2" x14ac:dyDescent="0.2">
      <c r="B251" t="s">
        <v>292</v>
      </c>
    </row>
    <row r="252" spans="2:2" x14ac:dyDescent="0.2">
      <c r="B252" t="s">
        <v>293</v>
      </c>
    </row>
    <row r="253" spans="2:2" x14ac:dyDescent="0.2">
      <c r="B253" t="s">
        <v>294</v>
      </c>
    </row>
    <row r="254" spans="2:2" x14ac:dyDescent="0.2">
      <c r="B254" t="s">
        <v>295</v>
      </c>
    </row>
    <row r="255" spans="2:2" x14ac:dyDescent="0.2">
      <c r="B255" t="s">
        <v>296</v>
      </c>
    </row>
    <row r="256" spans="2:2" x14ac:dyDescent="0.2">
      <c r="B256" t="s">
        <v>297</v>
      </c>
    </row>
    <row r="257" spans="2:2" x14ac:dyDescent="0.2">
      <c r="B257" t="s">
        <v>298</v>
      </c>
    </row>
    <row r="258" spans="2:2" x14ac:dyDescent="0.2">
      <c r="B258" t="s">
        <v>299</v>
      </c>
    </row>
    <row r="259" spans="2:2" x14ac:dyDescent="0.2">
      <c r="B259" t="s">
        <v>300</v>
      </c>
    </row>
    <row r="260" spans="2:2" x14ac:dyDescent="0.2">
      <c r="B260" t="s">
        <v>301</v>
      </c>
    </row>
    <row r="261" spans="2:2" x14ac:dyDescent="0.2">
      <c r="B261" t="s">
        <v>302</v>
      </c>
    </row>
    <row r="262" spans="2:2" x14ac:dyDescent="0.2">
      <c r="B262" t="s">
        <v>303</v>
      </c>
    </row>
    <row r="263" spans="2:2" x14ac:dyDescent="0.2">
      <c r="B263" t="s">
        <v>304</v>
      </c>
    </row>
    <row r="264" spans="2:2" x14ac:dyDescent="0.2">
      <c r="B264" t="s">
        <v>305</v>
      </c>
    </row>
    <row r="265" spans="2:2" x14ac:dyDescent="0.2">
      <c r="B265" t="s">
        <v>306</v>
      </c>
    </row>
    <row r="266" spans="2:2" x14ac:dyDescent="0.2">
      <c r="B266" t="s">
        <v>307</v>
      </c>
    </row>
    <row r="267" spans="2:2" x14ac:dyDescent="0.2">
      <c r="B267" t="s">
        <v>308</v>
      </c>
    </row>
    <row r="268" spans="2:2" x14ac:dyDescent="0.2">
      <c r="B268" t="s">
        <v>309</v>
      </c>
    </row>
    <row r="269" spans="2:2" x14ac:dyDescent="0.2">
      <c r="B269" t="s">
        <v>310</v>
      </c>
    </row>
    <row r="270" spans="2:2" x14ac:dyDescent="0.2">
      <c r="B270" t="s">
        <v>311</v>
      </c>
    </row>
    <row r="271" spans="2:2" x14ac:dyDescent="0.2">
      <c r="B271" t="s">
        <v>312</v>
      </c>
    </row>
    <row r="272" spans="2:2" x14ac:dyDescent="0.2">
      <c r="B272" t="s">
        <v>313</v>
      </c>
    </row>
    <row r="273" spans="2:2" x14ac:dyDescent="0.2">
      <c r="B273" t="s">
        <v>314</v>
      </c>
    </row>
    <row r="274" spans="2:2" x14ac:dyDescent="0.2">
      <c r="B274" t="s">
        <v>315</v>
      </c>
    </row>
    <row r="275" spans="2:2" x14ac:dyDescent="0.2">
      <c r="B275" t="s">
        <v>316</v>
      </c>
    </row>
    <row r="276" spans="2:2" x14ac:dyDescent="0.2">
      <c r="B276" t="s">
        <v>317</v>
      </c>
    </row>
    <row r="277" spans="2:2" x14ac:dyDescent="0.2">
      <c r="B277" t="s">
        <v>318</v>
      </c>
    </row>
    <row r="278" spans="2:2" x14ac:dyDescent="0.2">
      <c r="B278" t="s">
        <v>319</v>
      </c>
    </row>
    <row r="279" spans="2:2" x14ac:dyDescent="0.2">
      <c r="B279" t="s">
        <v>320</v>
      </c>
    </row>
    <row r="280" spans="2:2" x14ac:dyDescent="0.2">
      <c r="B280" t="s">
        <v>321</v>
      </c>
    </row>
    <row r="281" spans="2:2" x14ac:dyDescent="0.2">
      <c r="B281" t="s">
        <v>322</v>
      </c>
    </row>
    <row r="282" spans="2:2" x14ac:dyDescent="0.2">
      <c r="B282" t="s">
        <v>323</v>
      </c>
    </row>
    <row r="283" spans="2:2" x14ac:dyDescent="0.2">
      <c r="B283" t="s">
        <v>324</v>
      </c>
    </row>
    <row r="284" spans="2:2" x14ac:dyDescent="0.2">
      <c r="B284" t="s">
        <v>325</v>
      </c>
    </row>
    <row r="285" spans="2:2" x14ac:dyDescent="0.2">
      <c r="B285" t="s">
        <v>326</v>
      </c>
    </row>
    <row r="286" spans="2:2" x14ac:dyDescent="0.2">
      <c r="B286" t="s">
        <v>327</v>
      </c>
    </row>
    <row r="287" spans="2:2" x14ac:dyDescent="0.2">
      <c r="B287" t="s">
        <v>328</v>
      </c>
    </row>
    <row r="288" spans="2:2" x14ac:dyDescent="0.2">
      <c r="B288" t="s">
        <v>329</v>
      </c>
    </row>
    <row r="289" spans="2:2" x14ac:dyDescent="0.2">
      <c r="B289" t="s">
        <v>330</v>
      </c>
    </row>
    <row r="290" spans="2:2" x14ac:dyDescent="0.2">
      <c r="B290" t="s">
        <v>331</v>
      </c>
    </row>
    <row r="291" spans="2:2" x14ac:dyDescent="0.2">
      <c r="B291" t="s">
        <v>332</v>
      </c>
    </row>
    <row r="292" spans="2:2" x14ac:dyDescent="0.2">
      <c r="B292" t="s">
        <v>333</v>
      </c>
    </row>
    <row r="293" spans="2:2" x14ac:dyDescent="0.2">
      <c r="B293" t="s">
        <v>334</v>
      </c>
    </row>
    <row r="294" spans="2:2" x14ac:dyDescent="0.2">
      <c r="B294" t="s">
        <v>335</v>
      </c>
    </row>
    <row r="295" spans="2:2" x14ac:dyDescent="0.2">
      <c r="B295" t="s">
        <v>336</v>
      </c>
    </row>
    <row r="296" spans="2:2" x14ac:dyDescent="0.2">
      <c r="B296" t="s">
        <v>337</v>
      </c>
    </row>
    <row r="297" spans="2:2" x14ac:dyDescent="0.2">
      <c r="B297" t="s">
        <v>338</v>
      </c>
    </row>
    <row r="298" spans="2:2" x14ac:dyDescent="0.2">
      <c r="B298" t="s">
        <v>339</v>
      </c>
    </row>
    <row r="299" spans="2:2" x14ac:dyDescent="0.2">
      <c r="B299" t="s">
        <v>340</v>
      </c>
    </row>
    <row r="300" spans="2:2" x14ac:dyDescent="0.2">
      <c r="B300" t="s">
        <v>341</v>
      </c>
    </row>
    <row r="301" spans="2:2" x14ac:dyDescent="0.2">
      <c r="B301" t="s">
        <v>342</v>
      </c>
    </row>
    <row r="302" spans="2:2" x14ac:dyDescent="0.2">
      <c r="B302" t="s">
        <v>343</v>
      </c>
    </row>
    <row r="303" spans="2:2" x14ac:dyDescent="0.2">
      <c r="B303" t="s">
        <v>344</v>
      </c>
    </row>
    <row r="304" spans="2:2" x14ac:dyDescent="0.2">
      <c r="B304" t="s">
        <v>345</v>
      </c>
    </row>
    <row r="305" spans="2:2" x14ac:dyDescent="0.2">
      <c r="B305" t="s">
        <v>346</v>
      </c>
    </row>
    <row r="306" spans="2:2" x14ac:dyDescent="0.2">
      <c r="B306" t="s">
        <v>347</v>
      </c>
    </row>
    <row r="307" spans="2:2" x14ac:dyDescent="0.2">
      <c r="B307" t="s">
        <v>348</v>
      </c>
    </row>
    <row r="308" spans="2:2" x14ac:dyDescent="0.2">
      <c r="B308" t="s">
        <v>349</v>
      </c>
    </row>
    <row r="309" spans="2:2" x14ac:dyDescent="0.2">
      <c r="B309" t="s">
        <v>350</v>
      </c>
    </row>
    <row r="310" spans="2:2" x14ac:dyDescent="0.2">
      <c r="B310" t="s">
        <v>351</v>
      </c>
    </row>
    <row r="311" spans="2:2" x14ac:dyDescent="0.2">
      <c r="B311" t="s">
        <v>352</v>
      </c>
    </row>
    <row r="312" spans="2:2" x14ac:dyDescent="0.2">
      <c r="B312" t="s">
        <v>353</v>
      </c>
    </row>
    <row r="313" spans="2:2" x14ac:dyDescent="0.2">
      <c r="B313" t="s">
        <v>354</v>
      </c>
    </row>
    <row r="314" spans="2:2" x14ac:dyDescent="0.2">
      <c r="B314" t="s">
        <v>355</v>
      </c>
    </row>
    <row r="315" spans="2:2" x14ac:dyDescent="0.2">
      <c r="B315" t="s">
        <v>356</v>
      </c>
    </row>
    <row r="316" spans="2:2" x14ac:dyDescent="0.2">
      <c r="B316" t="s">
        <v>357</v>
      </c>
    </row>
    <row r="317" spans="2:2" x14ac:dyDescent="0.2">
      <c r="B317" t="s">
        <v>358</v>
      </c>
    </row>
    <row r="318" spans="2:2" x14ac:dyDescent="0.2">
      <c r="B318" t="s">
        <v>359</v>
      </c>
    </row>
    <row r="319" spans="2:2" x14ac:dyDescent="0.2">
      <c r="B319" t="s">
        <v>360</v>
      </c>
    </row>
    <row r="320" spans="2:2" x14ac:dyDescent="0.2">
      <c r="B320" t="s">
        <v>361</v>
      </c>
    </row>
    <row r="321" spans="2:2" x14ac:dyDescent="0.2">
      <c r="B321" t="s">
        <v>362</v>
      </c>
    </row>
    <row r="322" spans="2:2" x14ac:dyDescent="0.2">
      <c r="B322" t="s">
        <v>363</v>
      </c>
    </row>
    <row r="323" spans="2:2" x14ac:dyDescent="0.2">
      <c r="B323" t="s">
        <v>364</v>
      </c>
    </row>
    <row r="324" spans="2:2" x14ac:dyDescent="0.2">
      <c r="B324" t="s">
        <v>365</v>
      </c>
    </row>
    <row r="325" spans="2:2" x14ac:dyDescent="0.2">
      <c r="B325" t="s">
        <v>366</v>
      </c>
    </row>
    <row r="326" spans="2:2" x14ac:dyDescent="0.2">
      <c r="B326" t="s">
        <v>367</v>
      </c>
    </row>
    <row r="327" spans="2:2" x14ac:dyDescent="0.2">
      <c r="B327" t="s">
        <v>368</v>
      </c>
    </row>
    <row r="328" spans="2:2" x14ac:dyDescent="0.2">
      <c r="B328" t="s">
        <v>369</v>
      </c>
    </row>
    <row r="329" spans="2:2" x14ac:dyDescent="0.2">
      <c r="B329" t="s">
        <v>370</v>
      </c>
    </row>
    <row r="330" spans="2:2" x14ac:dyDescent="0.2">
      <c r="B330" t="s">
        <v>371</v>
      </c>
    </row>
    <row r="331" spans="2:2" x14ac:dyDescent="0.2">
      <c r="B331" t="s">
        <v>372</v>
      </c>
    </row>
    <row r="332" spans="2:2" x14ac:dyDescent="0.2">
      <c r="B332" t="s">
        <v>373</v>
      </c>
    </row>
    <row r="333" spans="2:2" x14ac:dyDescent="0.2">
      <c r="B333" t="s">
        <v>374</v>
      </c>
    </row>
    <row r="334" spans="2:2" x14ac:dyDescent="0.2">
      <c r="B334" t="s">
        <v>375</v>
      </c>
    </row>
    <row r="335" spans="2:2" x14ac:dyDescent="0.2">
      <c r="B335" t="s">
        <v>376</v>
      </c>
    </row>
    <row r="336" spans="2:2" x14ac:dyDescent="0.2">
      <c r="B336" t="s">
        <v>377</v>
      </c>
    </row>
    <row r="337" spans="2:2" x14ac:dyDescent="0.2">
      <c r="B337" t="s">
        <v>378</v>
      </c>
    </row>
    <row r="338" spans="2:2" x14ac:dyDescent="0.2">
      <c r="B338" t="s">
        <v>379</v>
      </c>
    </row>
    <row r="339" spans="2:2" x14ac:dyDescent="0.2">
      <c r="B339" t="s">
        <v>380</v>
      </c>
    </row>
    <row r="340" spans="2:2" x14ac:dyDescent="0.2">
      <c r="B340" t="s">
        <v>381</v>
      </c>
    </row>
    <row r="341" spans="2:2" x14ac:dyDescent="0.2">
      <c r="B341" t="s">
        <v>382</v>
      </c>
    </row>
    <row r="342" spans="2:2" x14ac:dyDescent="0.2">
      <c r="B342" t="s">
        <v>383</v>
      </c>
    </row>
    <row r="343" spans="2:2" x14ac:dyDescent="0.2">
      <c r="B343" t="s">
        <v>384</v>
      </c>
    </row>
    <row r="344" spans="2:2" x14ac:dyDescent="0.2">
      <c r="B344" t="s">
        <v>385</v>
      </c>
    </row>
    <row r="345" spans="2:2" x14ac:dyDescent="0.2">
      <c r="B345" t="s">
        <v>386</v>
      </c>
    </row>
    <row r="346" spans="2:2" x14ac:dyDescent="0.2">
      <c r="B346" t="s">
        <v>387</v>
      </c>
    </row>
    <row r="347" spans="2:2" x14ac:dyDescent="0.2">
      <c r="B347" t="s">
        <v>388</v>
      </c>
    </row>
    <row r="348" spans="2:2" x14ac:dyDescent="0.2">
      <c r="B348" t="s">
        <v>389</v>
      </c>
    </row>
    <row r="349" spans="2:2" x14ac:dyDescent="0.2">
      <c r="B349" t="s">
        <v>390</v>
      </c>
    </row>
    <row r="350" spans="2:2" x14ac:dyDescent="0.2">
      <c r="B350" t="s">
        <v>391</v>
      </c>
    </row>
    <row r="351" spans="2:2" x14ac:dyDescent="0.2">
      <c r="B351" t="s">
        <v>392</v>
      </c>
    </row>
    <row r="352" spans="2:2" x14ac:dyDescent="0.2">
      <c r="B352" t="s">
        <v>393</v>
      </c>
    </row>
    <row r="353" spans="2:2" x14ac:dyDescent="0.2">
      <c r="B353" t="s">
        <v>394</v>
      </c>
    </row>
    <row r="354" spans="2:2" x14ac:dyDescent="0.2">
      <c r="B354" t="s">
        <v>395</v>
      </c>
    </row>
    <row r="355" spans="2:2" x14ac:dyDescent="0.2">
      <c r="B355" t="s">
        <v>396</v>
      </c>
    </row>
    <row r="356" spans="2:2" x14ac:dyDescent="0.2">
      <c r="B356" t="s">
        <v>397</v>
      </c>
    </row>
    <row r="357" spans="2:2" x14ac:dyDescent="0.2">
      <c r="B357" t="s">
        <v>398</v>
      </c>
    </row>
    <row r="358" spans="2:2" x14ac:dyDescent="0.2">
      <c r="B358" t="s">
        <v>399</v>
      </c>
    </row>
    <row r="359" spans="2:2" x14ac:dyDescent="0.2">
      <c r="B359" t="s">
        <v>400</v>
      </c>
    </row>
    <row r="360" spans="2:2" x14ac:dyDescent="0.2">
      <c r="B360" t="s">
        <v>401</v>
      </c>
    </row>
    <row r="361" spans="2:2" x14ac:dyDescent="0.2">
      <c r="B361" t="s">
        <v>402</v>
      </c>
    </row>
    <row r="362" spans="2:2" x14ac:dyDescent="0.2">
      <c r="B362" t="s">
        <v>403</v>
      </c>
    </row>
    <row r="363" spans="2:2" x14ac:dyDescent="0.2">
      <c r="B363" t="s">
        <v>404</v>
      </c>
    </row>
    <row r="364" spans="2:2" x14ac:dyDescent="0.2">
      <c r="B364" t="s">
        <v>405</v>
      </c>
    </row>
    <row r="365" spans="2:2" x14ac:dyDescent="0.2">
      <c r="B365" t="s">
        <v>406</v>
      </c>
    </row>
    <row r="366" spans="2:2" x14ac:dyDescent="0.2">
      <c r="B366" t="s">
        <v>407</v>
      </c>
    </row>
    <row r="367" spans="2:2" x14ac:dyDescent="0.2">
      <c r="B367" t="s">
        <v>408</v>
      </c>
    </row>
    <row r="368" spans="2:2" x14ac:dyDescent="0.2">
      <c r="B368" t="s">
        <v>409</v>
      </c>
    </row>
    <row r="369" spans="2:2" x14ac:dyDescent="0.2">
      <c r="B369" t="s">
        <v>410</v>
      </c>
    </row>
    <row r="370" spans="2:2" x14ac:dyDescent="0.2">
      <c r="B370" t="s">
        <v>411</v>
      </c>
    </row>
    <row r="371" spans="2:2" x14ac:dyDescent="0.2">
      <c r="B371" t="s">
        <v>412</v>
      </c>
    </row>
    <row r="372" spans="2:2" x14ac:dyDescent="0.2">
      <c r="B372" t="s">
        <v>413</v>
      </c>
    </row>
    <row r="373" spans="2:2" x14ac:dyDescent="0.2">
      <c r="B373" t="s">
        <v>414</v>
      </c>
    </row>
    <row r="374" spans="2:2" x14ac:dyDescent="0.2">
      <c r="B374" t="s">
        <v>415</v>
      </c>
    </row>
    <row r="375" spans="2:2" x14ac:dyDescent="0.2">
      <c r="B375" t="s">
        <v>416</v>
      </c>
    </row>
    <row r="376" spans="2:2" x14ac:dyDescent="0.2">
      <c r="B376" t="s">
        <v>417</v>
      </c>
    </row>
    <row r="377" spans="2:2" x14ac:dyDescent="0.2">
      <c r="B377" t="s">
        <v>418</v>
      </c>
    </row>
    <row r="378" spans="2:2" x14ac:dyDescent="0.2">
      <c r="B378" t="s">
        <v>419</v>
      </c>
    </row>
    <row r="379" spans="2:2" x14ac:dyDescent="0.2">
      <c r="B379" t="s">
        <v>420</v>
      </c>
    </row>
    <row r="380" spans="2:2" x14ac:dyDescent="0.2">
      <c r="B380" t="s">
        <v>421</v>
      </c>
    </row>
    <row r="381" spans="2:2" x14ac:dyDescent="0.2">
      <c r="B381" t="s">
        <v>422</v>
      </c>
    </row>
    <row r="382" spans="2:2" x14ac:dyDescent="0.2">
      <c r="B382" t="s">
        <v>423</v>
      </c>
    </row>
    <row r="383" spans="2:2" x14ac:dyDescent="0.2">
      <c r="B383" t="s">
        <v>424</v>
      </c>
    </row>
    <row r="384" spans="2:2" x14ac:dyDescent="0.2">
      <c r="B384" t="s">
        <v>425</v>
      </c>
    </row>
    <row r="385" spans="2:2" x14ac:dyDescent="0.2">
      <c r="B385" t="s">
        <v>426</v>
      </c>
    </row>
    <row r="386" spans="2:2" x14ac:dyDescent="0.2">
      <c r="B386" t="s">
        <v>427</v>
      </c>
    </row>
    <row r="387" spans="2:2" x14ac:dyDescent="0.2">
      <c r="B387" t="s">
        <v>428</v>
      </c>
    </row>
    <row r="388" spans="2:2" x14ac:dyDescent="0.2">
      <c r="B388" t="s">
        <v>429</v>
      </c>
    </row>
    <row r="389" spans="2:2" x14ac:dyDescent="0.2">
      <c r="B389" t="s">
        <v>430</v>
      </c>
    </row>
    <row r="390" spans="2:2" x14ac:dyDescent="0.2">
      <c r="B390" t="s">
        <v>431</v>
      </c>
    </row>
    <row r="391" spans="2:2" x14ac:dyDescent="0.2">
      <c r="B391" t="s">
        <v>432</v>
      </c>
    </row>
    <row r="392" spans="2:2" x14ac:dyDescent="0.2">
      <c r="B392" t="s">
        <v>433</v>
      </c>
    </row>
    <row r="393" spans="2:2" x14ac:dyDescent="0.2">
      <c r="B393" t="s">
        <v>434</v>
      </c>
    </row>
    <row r="394" spans="2:2" x14ac:dyDescent="0.2">
      <c r="B394" t="s">
        <v>435</v>
      </c>
    </row>
    <row r="395" spans="2:2" x14ac:dyDescent="0.2">
      <c r="B395" t="s">
        <v>436</v>
      </c>
    </row>
    <row r="396" spans="2:2" x14ac:dyDescent="0.2">
      <c r="B396" t="s">
        <v>437</v>
      </c>
    </row>
    <row r="397" spans="2:2" x14ac:dyDescent="0.2">
      <c r="B397" t="s">
        <v>438</v>
      </c>
    </row>
    <row r="398" spans="2:2" x14ac:dyDescent="0.2">
      <c r="B398" t="s">
        <v>439</v>
      </c>
    </row>
    <row r="399" spans="2:2" x14ac:dyDescent="0.2">
      <c r="B399" t="s">
        <v>440</v>
      </c>
    </row>
    <row r="400" spans="2:2" x14ac:dyDescent="0.2">
      <c r="B400" t="s">
        <v>441</v>
      </c>
    </row>
    <row r="401" spans="2:2" x14ac:dyDescent="0.2">
      <c r="B401" t="s">
        <v>442</v>
      </c>
    </row>
    <row r="402" spans="2:2" x14ac:dyDescent="0.2">
      <c r="B402" t="s">
        <v>443</v>
      </c>
    </row>
    <row r="403" spans="2:2" x14ac:dyDescent="0.2">
      <c r="B403" t="s">
        <v>444</v>
      </c>
    </row>
    <row r="404" spans="2:2" x14ac:dyDescent="0.2">
      <c r="B404" t="s">
        <v>445</v>
      </c>
    </row>
    <row r="405" spans="2:2" x14ac:dyDescent="0.2">
      <c r="B405" t="s">
        <v>446</v>
      </c>
    </row>
    <row r="406" spans="2:2" x14ac:dyDescent="0.2">
      <c r="B406" t="s">
        <v>447</v>
      </c>
    </row>
    <row r="407" spans="2:2" x14ac:dyDescent="0.2">
      <c r="B407" t="s">
        <v>448</v>
      </c>
    </row>
    <row r="408" spans="2:2" x14ac:dyDescent="0.2">
      <c r="B408" t="s">
        <v>449</v>
      </c>
    </row>
    <row r="409" spans="2:2" x14ac:dyDescent="0.2">
      <c r="B409" t="s">
        <v>450</v>
      </c>
    </row>
    <row r="410" spans="2:2" x14ac:dyDescent="0.2">
      <c r="B410" t="s">
        <v>451</v>
      </c>
    </row>
    <row r="411" spans="2:2" x14ac:dyDescent="0.2">
      <c r="B411" t="s">
        <v>452</v>
      </c>
    </row>
    <row r="412" spans="2:2" x14ac:dyDescent="0.2">
      <c r="B412" t="s">
        <v>453</v>
      </c>
    </row>
    <row r="413" spans="2:2" x14ac:dyDescent="0.2">
      <c r="B413" t="s">
        <v>454</v>
      </c>
    </row>
    <row r="414" spans="2:2" x14ac:dyDescent="0.2">
      <c r="B414" t="s">
        <v>455</v>
      </c>
    </row>
    <row r="415" spans="2:2" x14ac:dyDescent="0.2">
      <c r="B415" t="s">
        <v>456</v>
      </c>
    </row>
    <row r="416" spans="2:2" x14ac:dyDescent="0.2">
      <c r="B416" t="s">
        <v>457</v>
      </c>
    </row>
    <row r="417" spans="2:2" x14ac:dyDescent="0.2">
      <c r="B417" t="s">
        <v>458</v>
      </c>
    </row>
    <row r="418" spans="2:2" x14ac:dyDescent="0.2">
      <c r="B418" t="s">
        <v>459</v>
      </c>
    </row>
    <row r="419" spans="2:2" x14ac:dyDescent="0.2">
      <c r="B419" t="s">
        <v>460</v>
      </c>
    </row>
    <row r="420" spans="2:2" x14ac:dyDescent="0.2">
      <c r="B420" t="s">
        <v>461</v>
      </c>
    </row>
    <row r="421" spans="2:2" x14ac:dyDescent="0.2">
      <c r="B421" t="s">
        <v>462</v>
      </c>
    </row>
    <row r="422" spans="2:2" x14ac:dyDescent="0.2">
      <c r="B422" t="s">
        <v>463</v>
      </c>
    </row>
    <row r="423" spans="2:2" x14ac:dyDescent="0.2">
      <c r="B423" t="s">
        <v>464</v>
      </c>
    </row>
    <row r="424" spans="2:2" x14ac:dyDescent="0.2">
      <c r="B424" t="s">
        <v>465</v>
      </c>
    </row>
    <row r="425" spans="2:2" x14ac:dyDescent="0.2">
      <c r="B425" t="s">
        <v>466</v>
      </c>
    </row>
    <row r="426" spans="2:2" x14ac:dyDescent="0.2">
      <c r="B426" t="s">
        <v>467</v>
      </c>
    </row>
    <row r="427" spans="2:2" x14ac:dyDescent="0.2">
      <c r="B427" t="s">
        <v>468</v>
      </c>
    </row>
    <row r="428" spans="2:2" x14ac:dyDescent="0.2">
      <c r="B428" t="s">
        <v>469</v>
      </c>
    </row>
    <row r="429" spans="2:2" x14ac:dyDescent="0.2">
      <c r="B429" t="s">
        <v>470</v>
      </c>
    </row>
    <row r="430" spans="2:2" x14ac:dyDescent="0.2">
      <c r="B430" t="s">
        <v>471</v>
      </c>
    </row>
    <row r="431" spans="2:2" x14ac:dyDescent="0.2">
      <c r="B431" t="s">
        <v>472</v>
      </c>
    </row>
    <row r="432" spans="2:2" x14ac:dyDescent="0.2">
      <c r="B432" t="s">
        <v>473</v>
      </c>
    </row>
    <row r="433" spans="2:2" x14ac:dyDescent="0.2">
      <c r="B433" t="s">
        <v>474</v>
      </c>
    </row>
    <row r="434" spans="2:2" x14ac:dyDescent="0.2">
      <c r="B434" t="s">
        <v>475</v>
      </c>
    </row>
    <row r="435" spans="2:2" x14ac:dyDescent="0.2">
      <c r="B435" t="s">
        <v>476</v>
      </c>
    </row>
    <row r="436" spans="2:2" x14ac:dyDescent="0.2">
      <c r="B436" t="s">
        <v>477</v>
      </c>
    </row>
    <row r="437" spans="2:2" x14ac:dyDescent="0.2">
      <c r="B437" t="s">
        <v>478</v>
      </c>
    </row>
    <row r="438" spans="2:2" x14ac:dyDescent="0.2">
      <c r="B438" t="s">
        <v>479</v>
      </c>
    </row>
    <row r="439" spans="2:2" x14ac:dyDescent="0.2">
      <c r="B439" t="s">
        <v>480</v>
      </c>
    </row>
    <row r="440" spans="2:2" x14ac:dyDescent="0.2">
      <c r="B440" t="s">
        <v>481</v>
      </c>
    </row>
    <row r="441" spans="2:2" x14ac:dyDescent="0.2">
      <c r="B441" t="s">
        <v>482</v>
      </c>
    </row>
    <row r="442" spans="2:2" x14ac:dyDescent="0.2">
      <c r="B442" t="s">
        <v>483</v>
      </c>
    </row>
    <row r="443" spans="2:2" x14ac:dyDescent="0.2">
      <c r="B443" t="s">
        <v>484</v>
      </c>
    </row>
    <row r="444" spans="2:2" x14ac:dyDescent="0.2">
      <c r="B444" t="s">
        <v>485</v>
      </c>
    </row>
    <row r="445" spans="2:2" x14ac:dyDescent="0.2">
      <c r="B445" t="s">
        <v>486</v>
      </c>
    </row>
    <row r="446" spans="2:2" x14ac:dyDescent="0.2">
      <c r="B446" t="s">
        <v>487</v>
      </c>
    </row>
    <row r="447" spans="2:2" x14ac:dyDescent="0.2">
      <c r="B447" t="s">
        <v>488</v>
      </c>
    </row>
    <row r="448" spans="2:2" x14ac:dyDescent="0.2">
      <c r="B448" t="s">
        <v>489</v>
      </c>
    </row>
    <row r="449" spans="2:2" x14ac:dyDescent="0.2">
      <c r="B449" t="s">
        <v>490</v>
      </c>
    </row>
    <row r="450" spans="2:2" x14ac:dyDescent="0.2">
      <c r="B450" t="s">
        <v>491</v>
      </c>
    </row>
    <row r="451" spans="2:2" x14ac:dyDescent="0.2">
      <c r="B451" t="s">
        <v>492</v>
      </c>
    </row>
    <row r="452" spans="2:2" x14ac:dyDescent="0.2">
      <c r="B452" t="s">
        <v>493</v>
      </c>
    </row>
    <row r="453" spans="2:2" x14ac:dyDescent="0.2">
      <c r="B453" t="s">
        <v>494</v>
      </c>
    </row>
    <row r="454" spans="2:2" x14ac:dyDescent="0.2">
      <c r="B454" t="s">
        <v>495</v>
      </c>
    </row>
    <row r="455" spans="2:2" x14ac:dyDescent="0.2">
      <c r="B455" t="s">
        <v>496</v>
      </c>
    </row>
    <row r="456" spans="2:2" x14ac:dyDescent="0.2">
      <c r="B456" t="s">
        <v>497</v>
      </c>
    </row>
    <row r="457" spans="2:2" x14ac:dyDescent="0.2">
      <c r="B457" t="s">
        <v>498</v>
      </c>
    </row>
    <row r="458" spans="2:2" x14ac:dyDescent="0.2">
      <c r="B458" t="s">
        <v>499</v>
      </c>
    </row>
    <row r="459" spans="2:2" x14ac:dyDescent="0.2">
      <c r="B459" t="s">
        <v>500</v>
      </c>
    </row>
    <row r="460" spans="2:2" x14ac:dyDescent="0.2">
      <c r="B460" t="s">
        <v>501</v>
      </c>
    </row>
    <row r="461" spans="2:2" x14ac:dyDescent="0.2">
      <c r="B461" t="s">
        <v>502</v>
      </c>
    </row>
    <row r="462" spans="2:2" x14ac:dyDescent="0.2">
      <c r="B462" t="s">
        <v>503</v>
      </c>
    </row>
    <row r="463" spans="2:2" x14ac:dyDescent="0.2">
      <c r="B463" t="s">
        <v>504</v>
      </c>
    </row>
    <row r="464" spans="2:2" x14ac:dyDescent="0.2">
      <c r="B464" t="s">
        <v>505</v>
      </c>
    </row>
    <row r="465" spans="2:2" x14ac:dyDescent="0.2">
      <c r="B465" t="s">
        <v>506</v>
      </c>
    </row>
    <row r="466" spans="2:2" x14ac:dyDescent="0.2">
      <c r="B466" t="s">
        <v>507</v>
      </c>
    </row>
    <row r="467" spans="2:2" x14ac:dyDescent="0.2">
      <c r="B467" t="s">
        <v>508</v>
      </c>
    </row>
    <row r="468" spans="2:2" x14ac:dyDescent="0.2">
      <c r="B468" t="s">
        <v>509</v>
      </c>
    </row>
    <row r="469" spans="2:2" x14ac:dyDescent="0.2">
      <c r="B469" t="s">
        <v>510</v>
      </c>
    </row>
    <row r="470" spans="2:2" x14ac:dyDescent="0.2">
      <c r="B470" t="s">
        <v>511</v>
      </c>
    </row>
    <row r="471" spans="2:2" x14ac:dyDescent="0.2">
      <c r="B471" t="s">
        <v>512</v>
      </c>
    </row>
    <row r="472" spans="2:2" x14ac:dyDescent="0.2">
      <c r="B472" t="s">
        <v>513</v>
      </c>
    </row>
    <row r="473" spans="2:2" x14ac:dyDescent="0.2">
      <c r="B473" t="s">
        <v>514</v>
      </c>
    </row>
    <row r="474" spans="2:2" x14ac:dyDescent="0.2">
      <c r="B474" t="s">
        <v>515</v>
      </c>
    </row>
    <row r="475" spans="2:2" x14ac:dyDescent="0.2">
      <c r="B475" t="s">
        <v>516</v>
      </c>
    </row>
    <row r="476" spans="2:2" x14ac:dyDescent="0.2">
      <c r="B476" t="s">
        <v>517</v>
      </c>
    </row>
    <row r="477" spans="2:2" x14ac:dyDescent="0.2">
      <c r="B477" t="s">
        <v>518</v>
      </c>
    </row>
    <row r="478" spans="2:2" x14ac:dyDescent="0.2">
      <c r="B478" t="s">
        <v>519</v>
      </c>
    </row>
    <row r="479" spans="2:2" x14ac:dyDescent="0.2">
      <c r="B479" t="s">
        <v>520</v>
      </c>
    </row>
    <row r="480" spans="2:2" x14ac:dyDescent="0.2">
      <c r="B480" t="s">
        <v>521</v>
      </c>
    </row>
    <row r="481" spans="2:2" x14ac:dyDescent="0.2">
      <c r="B481" t="s">
        <v>522</v>
      </c>
    </row>
    <row r="482" spans="2:2" x14ac:dyDescent="0.2">
      <c r="B482" t="s">
        <v>523</v>
      </c>
    </row>
    <row r="483" spans="2:2" x14ac:dyDescent="0.2">
      <c r="B483" t="s">
        <v>524</v>
      </c>
    </row>
    <row r="484" spans="2:2" x14ac:dyDescent="0.2">
      <c r="B484" t="s">
        <v>525</v>
      </c>
    </row>
    <row r="485" spans="2:2" x14ac:dyDescent="0.2">
      <c r="B485" t="s">
        <v>526</v>
      </c>
    </row>
    <row r="486" spans="2:2" x14ac:dyDescent="0.2">
      <c r="B486" t="s">
        <v>527</v>
      </c>
    </row>
    <row r="487" spans="2:2" x14ac:dyDescent="0.2">
      <c r="B487" t="s">
        <v>528</v>
      </c>
    </row>
    <row r="488" spans="2:2" x14ac:dyDescent="0.2">
      <c r="B488" t="s">
        <v>529</v>
      </c>
    </row>
    <row r="489" spans="2:2" x14ac:dyDescent="0.2">
      <c r="B489" t="s">
        <v>530</v>
      </c>
    </row>
    <row r="490" spans="2:2" x14ac:dyDescent="0.2">
      <c r="B490" t="s">
        <v>531</v>
      </c>
    </row>
    <row r="491" spans="2:2" x14ac:dyDescent="0.2">
      <c r="B491" t="s">
        <v>532</v>
      </c>
    </row>
    <row r="492" spans="2:2" x14ac:dyDescent="0.2">
      <c r="B492" t="s">
        <v>533</v>
      </c>
    </row>
    <row r="493" spans="2:2" x14ac:dyDescent="0.2">
      <c r="B493" t="s">
        <v>534</v>
      </c>
    </row>
    <row r="494" spans="2:2" x14ac:dyDescent="0.2">
      <c r="B494" t="s">
        <v>535</v>
      </c>
    </row>
    <row r="495" spans="2:2" x14ac:dyDescent="0.2">
      <c r="B495" t="s">
        <v>536</v>
      </c>
    </row>
    <row r="496" spans="2:2" x14ac:dyDescent="0.2">
      <c r="B496" t="s">
        <v>537</v>
      </c>
    </row>
    <row r="497" spans="2:2" x14ac:dyDescent="0.2">
      <c r="B497" t="s">
        <v>538</v>
      </c>
    </row>
    <row r="498" spans="2:2" x14ac:dyDescent="0.2">
      <c r="B498" t="s">
        <v>539</v>
      </c>
    </row>
    <row r="499" spans="2:2" x14ac:dyDescent="0.2">
      <c r="B499" t="s">
        <v>540</v>
      </c>
    </row>
    <row r="500" spans="2:2" x14ac:dyDescent="0.2">
      <c r="B500" t="s">
        <v>541</v>
      </c>
    </row>
    <row r="501" spans="2:2" x14ac:dyDescent="0.2">
      <c r="B501" t="s">
        <v>542</v>
      </c>
    </row>
    <row r="502" spans="2:2" x14ac:dyDescent="0.2">
      <c r="B502" t="s">
        <v>543</v>
      </c>
    </row>
    <row r="503" spans="2:2" x14ac:dyDescent="0.2">
      <c r="B503" t="s">
        <v>544</v>
      </c>
    </row>
    <row r="504" spans="2:2" x14ac:dyDescent="0.2">
      <c r="B504" t="s">
        <v>545</v>
      </c>
    </row>
    <row r="505" spans="2:2" x14ac:dyDescent="0.2">
      <c r="B505" t="s">
        <v>546</v>
      </c>
    </row>
    <row r="506" spans="2:2" x14ac:dyDescent="0.2">
      <c r="B506" t="s">
        <v>547</v>
      </c>
    </row>
    <row r="507" spans="2:2" x14ac:dyDescent="0.2">
      <c r="B507" t="s">
        <v>548</v>
      </c>
    </row>
    <row r="508" spans="2:2" x14ac:dyDescent="0.2">
      <c r="B508" t="s">
        <v>549</v>
      </c>
    </row>
    <row r="509" spans="2:2" x14ac:dyDescent="0.2">
      <c r="B509" t="s">
        <v>550</v>
      </c>
    </row>
    <row r="510" spans="2:2" x14ac:dyDescent="0.2">
      <c r="B510" t="s">
        <v>551</v>
      </c>
    </row>
    <row r="511" spans="2:2" x14ac:dyDescent="0.2">
      <c r="B511" t="s">
        <v>552</v>
      </c>
    </row>
    <row r="512" spans="2:2" x14ac:dyDescent="0.2">
      <c r="B512" t="s">
        <v>553</v>
      </c>
    </row>
    <row r="513" spans="2:2" x14ac:dyDescent="0.2">
      <c r="B513" t="s">
        <v>554</v>
      </c>
    </row>
    <row r="514" spans="2:2" x14ac:dyDescent="0.2">
      <c r="B514" t="s">
        <v>555</v>
      </c>
    </row>
    <row r="515" spans="2:2" x14ac:dyDescent="0.2">
      <c r="B515" t="s">
        <v>556</v>
      </c>
    </row>
    <row r="516" spans="2:2" x14ac:dyDescent="0.2">
      <c r="B516" t="s">
        <v>557</v>
      </c>
    </row>
    <row r="517" spans="2:2" x14ac:dyDescent="0.2">
      <c r="B517" t="s">
        <v>558</v>
      </c>
    </row>
    <row r="518" spans="2:2" x14ac:dyDescent="0.2">
      <c r="B518" t="s">
        <v>559</v>
      </c>
    </row>
    <row r="519" spans="2:2" x14ac:dyDescent="0.2">
      <c r="B519" t="s">
        <v>560</v>
      </c>
    </row>
    <row r="520" spans="2:2" x14ac:dyDescent="0.2">
      <c r="B520" t="s">
        <v>561</v>
      </c>
    </row>
    <row r="521" spans="2:2" x14ac:dyDescent="0.2">
      <c r="B521" t="s">
        <v>562</v>
      </c>
    </row>
    <row r="522" spans="2:2" x14ac:dyDescent="0.2">
      <c r="B522" t="s">
        <v>563</v>
      </c>
    </row>
    <row r="523" spans="2:2" x14ac:dyDescent="0.2">
      <c r="B523" t="s">
        <v>564</v>
      </c>
    </row>
    <row r="524" spans="2:2" x14ac:dyDescent="0.2">
      <c r="B524" t="s">
        <v>565</v>
      </c>
    </row>
    <row r="525" spans="2:2" x14ac:dyDescent="0.2">
      <c r="B525" t="s">
        <v>566</v>
      </c>
    </row>
    <row r="526" spans="2:2" x14ac:dyDescent="0.2">
      <c r="B526" t="s">
        <v>567</v>
      </c>
    </row>
    <row r="527" spans="2:2" x14ac:dyDescent="0.2">
      <c r="B527" t="s">
        <v>568</v>
      </c>
    </row>
    <row r="528" spans="2:2" x14ac:dyDescent="0.2">
      <c r="B528" t="s">
        <v>569</v>
      </c>
    </row>
    <row r="529" spans="2:2" x14ac:dyDescent="0.2">
      <c r="B529" t="s">
        <v>570</v>
      </c>
    </row>
    <row r="530" spans="2:2" x14ac:dyDescent="0.2">
      <c r="B530" t="s">
        <v>571</v>
      </c>
    </row>
    <row r="531" spans="2:2" x14ac:dyDescent="0.2">
      <c r="B531" t="s">
        <v>572</v>
      </c>
    </row>
    <row r="532" spans="2:2" x14ac:dyDescent="0.2">
      <c r="B532" t="s">
        <v>573</v>
      </c>
    </row>
    <row r="533" spans="2:2" x14ac:dyDescent="0.2">
      <c r="B533" t="s">
        <v>574</v>
      </c>
    </row>
    <row r="534" spans="2:2" x14ac:dyDescent="0.2">
      <c r="B534" t="s">
        <v>575</v>
      </c>
    </row>
    <row r="535" spans="2:2" x14ac:dyDescent="0.2">
      <c r="B535" t="s">
        <v>576</v>
      </c>
    </row>
    <row r="536" spans="2:2" x14ac:dyDescent="0.2">
      <c r="B536" t="s">
        <v>577</v>
      </c>
    </row>
    <row r="537" spans="2:2" x14ac:dyDescent="0.2">
      <c r="B537" t="s">
        <v>578</v>
      </c>
    </row>
    <row r="538" spans="2:2" x14ac:dyDescent="0.2">
      <c r="B538" t="s">
        <v>579</v>
      </c>
    </row>
    <row r="539" spans="2:2" x14ac:dyDescent="0.2">
      <c r="B539" t="s">
        <v>580</v>
      </c>
    </row>
    <row r="540" spans="2:2" x14ac:dyDescent="0.2">
      <c r="B540" t="s">
        <v>581</v>
      </c>
    </row>
    <row r="541" spans="2:2" x14ac:dyDescent="0.2">
      <c r="B541" t="s">
        <v>582</v>
      </c>
    </row>
    <row r="542" spans="2:2" x14ac:dyDescent="0.2">
      <c r="B542" t="s">
        <v>583</v>
      </c>
    </row>
    <row r="543" spans="2:2" x14ac:dyDescent="0.2">
      <c r="B543" t="s">
        <v>584</v>
      </c>
    </row>
    <row r="544" spans="2:2" x14ac:dyDescent="0.2">
      <c r="B544" t="s">
        <v>585</v>
      </c>
    </row>
    <row r="545" spans="2:2" x14ac:dyDescent="0.2">
      <c r="B545" t="s">
        <v>586</v>
      </c>
    </row>
    <row r="546" spans="2:2" x14ac:dyDescent="0.2">
      <c r="B546" t="s">
        <v>587</v>
      </c>
    </row>
    <row r="547" spans="2:2" x14ac:dyDescent="0.2">
      <c r="B547" t="s">
        <v>588</v>
      </c>
    </row>
    <row r="548" spans="2:2" x14ac:dyDescent="0.2">
      <c r="B548" t="s">
        <v>589</v>
      </c>
    </row>
    <row r="549" spans="2:2" x14ac:dyDescent="0.2">
      <c r="B549" t="s">
        <v>590</v>
      </c>
    </row>
    <row r="550" spans="2:2" x14ac:dyDescent="0.2">
      <c r="B550" t="s">
        <v>591</v>
      </c>
    </row>
    <row r="551" spans="2:2" x14ac:dyDescent="0.2">
      <c r="B551" t="s">
        <v>592</v>
      </c>
    </row>
    <row r="552" spans="2:2" x14ac:dyDescent="0.2">
      <c r="B552" t="s">
        <v>593</v>
      </c>
    </row>
    <row r="553" spans="2:2" x14ac:dyDescent="0.2">
      <c r="B553" t="s">
        <v>594</v>
      </c>
    </row>
    <row r="554" spans="2:2" x14ac:dyDescent="0.2">
      <c r="B554" t="s">
        <v>595</v>
      </c>
    </row>
    <row r="555" spans="2:2" x14ac:dyDescent="0.2">
      <c r="B555" t="s">
        <v>596</v>
      </c>
    </row>
    <row r="556" spans="2:2" x14ac:dyDescent="0.2">
      <c r="B556" t="s">
        <v>597</v>
      </c>
    </row>
    <row r="557" spans="2:2" x14ac:dyDescent="0.2">
      <c r="B557" t="s">
        <v>598</v>
      </c>
    </row>
    <row r="558" spans="2:2" x14ac:dyDescent="0.2">
      <c r="B558" t="s">
        <v>599</v>
      </c>
    </row>
    <row r="559" spans="2:2" x14ac:dyDescent="0.2">
      <c r="B559" t="s">
        <v>600</v>
      </c>
    </row>
    <row r="560" spans="2:2" x14ac:dyDescent="0.2">
      <c r="B560" t="s">
        <v>601</v>
      </c>
    </row>
    <row r="561" spans="2:2" x14ac:dyDescent="0.2">
      <c r="B561" t="s">
        <v>602</v>
      </c>
    </row>
    <row r="562" spans="2:2" x14ac:dyDescent="0.2">
      <c r="B562" t="s">
        <v>603</v>
      </c>
    </row>
    <row r="563" spans="2:2" x14ac:dyDescent="0.2">
      <c r="B563" t="s">
        <v>604</v>
      </c>
    </row>
    <row r="564" spans="2:2" x14ac:dyDescent="0.2">
      <c r="B564" t="s">
        <v>605</v>
      </c>
    </row>
    <row r="565" spans="2:2" x14ac:dyDescent="0.2">
      <c r="B565" t="s">
        <v>606</v>
      </c>
    </row>
    <row r="566" spans="2:2" x14ac:dyDescent="0.2">
      <c r="B566" t="s">
        <v>607</v>
      </c>
    </row>
    <row r="567" spans="2:2" x14ac:dyDescent="0.2">
      <c r="B567" t="s">
        <v>608</v>
      </c>
    </row>
    <row r="568" spans="2:2" x14ac:dyDescent="0.2">
      <c r="B568" t="s">
        <v>609</v>
      </c>
    </row>
    <row r="569" spans="2:2" x14ac:dyDescent="0.2">
      <c r="B569" t="s">
        <v>610</v>
      </c>
    </row>
    <row r="570" spans="2:2" x14ac:dyDescent="0.2">
      <c r="B570" t="s">
        <v>611</v>
      </c>
    </row>
    <row r="571" spans="2:2" x14ac:dyDescent="0.2">
      <c r="B571" t="s">
        <v>612</v>
      </c>
    </row>
    <row r="572" spans="2:2" x14ac:dyDescent="0.2">
      <c r="B572" t="s">
        <v>613</v>
      </c>
    </row>
    <row r="573" spans="2:2" x14ac:dyDescent="0.2">
      <c r="B573" t="s">
        <v>614</v>
      </c>
    </row>
    <row r="574" spans="2:2" x14ac:dyDescent="0.2">
      <c r="B574" t="s">
        <v>615</v>
      </c>
    </row>
    <row r="575" spans="2:2" x14ac:dyDescent="0.2">
      <c r="B575" t="s">
        <v>616</v>
      </c>
    </row>
    <row r="576" spans="2:2" x14ac:dyDescent="0.2">
      <c r="B576" t="s">
        <v>617</v>
      </c>
    </row>
    <row r="577" spans="2:2" x14ac:dyDescent="0.2">
      <c r="B577" t="s">
        <v>618</v>
      </c>
    </row>
    <row r="578" spans="2:2" x14ac:dyDescent="0.2">
      <c r="B578" t="s">
        <v>619</v>
      </c>
    </row>
    <row r="579" spans="2:2" x14ac:dyDescent="0.2">
      <c r="B579" t="s">
        <v>620</v>
      </c>
    </row>
    <row r="580" spans="2:2" x14ac:dyDescent="0.2">
      <c r="B580" t="s">
        <v>621</v>
      </c>
    </row>
    <row r="581" spans="2:2" x14ac:dyDescent="0.2">
      <c r="B581" t="s">
        <v>622</v>
      </c>
    </row>
    <row r="582" spans="2:2" x14ac:dyDescent="0.2">
      <c r="B582" t="s">
        <v>623</v>
      </c>
    </row>
    <row r="583" spans="2:2" x14ac:dyDescent="0.2">
      <c r="B583" t="s">
        <v>624</v>
      </c>
    </row>
    <row r="584" spans="2:2" x14ac:dyDescent="0.2">
      <c r="B584" t="s">
        <v>625</v>
      </c>
    </row>
    <row r="585" spans="2:2" x14ac:dyDescent="0.2">
      <c r="B585" t="s">
        <v>626</v>
      </c>
    </row>
    <row r="586" spans="2:2" x14ac:dyDescent="0.2">
      <c r="B586" t="s">
        <v>627</v>
      </c>
    </row>
    <row r="587" spans="2:2" x14ac:dyDescent="0.2">
      <c r="B587" t="s">
        <v>628</v>
      </c>
    </row>
    <row r="588" spans="2:2" x14ac:dyDescent="0.2">
      <c r="B588" t="s">
        <v>629</v>
      </c>
    </row>
    <row r="589" spans="2:2" x14ac:dyDescent="0.2">
      <c r="B589" t="s">
        <v>630</v>
      </c>
    </row>
    <row r="590" spans="2:2" x14ac:dyDescent="0.2">
      <c r="B590" t="s">
        <v>631</v>
      </c>
    </row>
    <row r="591" spans="2:2" x14ac:dyDescent="0.2">
      <c r="B591" t="s">
        <v>632</v>
      </c>
    </row>
    <row r="592" spans="2:2" x14ac:dyDescent="0.2">
      <c r="B592" t="s">
        <v>633</v>
      </c>
    </row>
    <row r="593" spans="2:2" x14ac:dyDescent="0.2">
      <c r="B593" t="s">
        <v>634</v>
      </c>
    </row>
    <row r="594" spans="2:2" x14ac:dyDescent="0.2">
      <c r="B594" t="s">
        <v>635</v>
      </c>
    </row>
    <row r="595" spans="2:2" x14ac:dyDescent="0.2">
      <c r="B595" t="s">
        <v>636</v>
      </c>
    </row>
    <row r="596" spans="2:2" x14ac:dyDescent="0.2">
      <c r="B596" t="s">
        <v>637</v>
      </c>
    </row>
    <row r="597" spans="2:2" x14ac:dyDescent="0.2">
      <c r="B597" t="s">
        <v>638</v>
      </c>
    </row>
    <row r="598" spans="2:2" x14ac:dyDescent="0.2">
      <c r="B598" t="s">
        <v>639</v>
      </c>
    </row>
    <row r="599" spans="2:2" x14ac:dyDescent="0.2">
      <c r="B599" t="s">
        <v>640</v>
      </c>
    </row>
    <row r="600" spans="2:2" x14ac:dyDescent="0.2">
      <c r="B600" t="s">
        <v>641</v>
      </c>
    </row>
    <row r="601" spans="2:2" x14ac:dyDescent="0.2">
      <c r="B601" t="s">
        <v>642</v>
      </c>
    </row>
    <row r="602" spans="2:2" x14ac:dyDescent="0.2">
      <c r="B602" t="s">
        <v>643</v>
      </c>
    </row>
    <row r="603" spans="2:2" x14ac:dyDescent="0.2">
      <c r="B603" t="s">
        <v>644</v>
      </c>
    </row>
    <row r="604" spans="2:2" x14ac:dyDescent="0.2">
      <c r="B604" t="s">
        <v>645</v>
      </c>
    </row>
    <row r="605" spans="2:2" x14ac:dyDescent="0.2">
      <c r="B605" t="s">
        <v>646</v>
      </c>
    </row>
    <row r="606" spans="2:2" x14ac:dyDescent="0.2">
      <c r="B606" t="s">
        <v>647</v>
      </c>
    </row>
    <row r="607" spans="2:2" x14ac:dyDescent="0.2">
      <c r="B607" t="s">
        <v>648</v>
      </c>
    </row>
    <row r="608" spans="2:2" x14ac:dyDescent="0.2">
      <c r="B608" t="s">
        <v>649</v>
      </c>
    </row>
    <row r="609" spans="2:2" x14ac:dyDescent="0.2">
      <c r="B609" t="s">
        <v>650</v>
      </c>
    </row>
    <row r="610" spans="2:2" x14ac:dyDescent="0.2">
      <c r="B610" t="s">
        <v>651</v>
      </c>
    </row>
    <row r="611" spans="2:2" x14ac:dyDescent="0.2">
      <c r="B611" t="s">
        <v>652</v>
      </c>
    </row>
    <row r="612" spans="2:2" x14ac:dyDescent="0.2">
      <c r="B612" t="s">
        <v>653</v>
      </c>
    </row>
    <row r="613" spans="2:2" x14ac:dyDescent="0.2">
      <c r="B613" t="s">
        <v>654</v>
      </c>
    </row>
    <row r="614" spans="2:2" x14ac:dyDescent="0.2">
      <c r="B614" t="s">
        <v>655</v>
      </c>
    </row>
    <row r="615" spans="2:2" x14ac:dyDescent="0.2">
      <c r="B615" t="s">
        <v>656</v>
      </c>
    </row>
    <row r="616" spans="2:2" x14ac:dyDescent="0.2">
      <c r="B616" t="s">
        <v>657</v>
      </c>
    </row>
    <row r="617" spans="2:2" x14ac:dyDescent="0.2">
      <c r="B617" t="s">
        <v>658</v>
      </c>
    </row>
    <row r="618" spans="2:2" x14ac:dyDescent="0.2">
      <c r="B618" t="s">
        <v>659</v>
      </c>
    </row>
    <row r="619" spans="2:2" x14ac:dyDescent="0.2">
      <c r="B619" t="s">
        <v>660</v>
      </c>
    </row>
    <row r="620" spans="2:2" x14ac:dyDescent="0.2">
      <c r="B620" t="s">
        <v>661</v>
      </c>
    </row>
    <row r="621" spans="2:2" x14ac:dyDescent="0.2">
      <c r="B621" t="s">
        <v>662</v>
      </c>
    </row>
    <row r="622" spans="2:2" x14ac:dyDescent="0.2">
      <c r="B622" t="s">
        <v>663</v>
      </c>
    </row>
    <row r="623" spans="2:2" x14ac:dyDescent="0.2">
      <c r="B623" t="s">
        <v>664</v>
      </c>
    </row>
    <row r="624" spans="2:2" x14ac:dyDescent="0.2">
      <c r="B624" t="s">
        <v>665</v>
      </c>
    </row>
    <row r="625" spans="2:2" x14ac:dyDescent="0.2">
      <c r="B625" t="s">
        <v>666</v>
      </c>
    </row>
    <row r="626" spans="2:2" x14ac:dyDescent="0.2">
      <c r="B626" t="s">
        <v>667</v>
      </c>
    </row>
    <row r="627" spans="2:2" x14ac:dyDescent="0.2">
      <c r="B627" t="s">
        <v>668</v>
      </c>
    </row>
    <row r="628" spans="2:2" x14ac:dyDescent="0.2">
      <c r="B628" t="s">
        <v>669</v>
      </c>
    </row>
    <row r="629" spans="2:2" x14ac:dyDescent="0.2">
      <c r="B629" t="s">
        <v>670</v>
      </c>
    </row>
    <row r="630" spans="2:2" x14ac:dyDescent="0.2">
      <c r="B630" t="s">
        <v>671</v>
      </c>
    </row>
    <row r="631" spans="2:2" x14ac:dyDescent="0.2">
      <c r="B631" t="s">
        <v>672</v>
      </c>
    </row>
    <row r="632" spans="2:2" x14ac:dyDescent="0.2">
      <c r="B632" t="s">
        <v>673</v>
      </c>
    </row>
    <row r="633" spans="2:2" x14ac:dyDescent="0.2">
      <c r="B633" t="s">
        <v>674</v>
      </c>
    </row>
    <row r="634" spans="2:2" x14ac:dyDescent="0.2">
      <c r="B634" t="s">
        <v>675</v>
      </c>
    </row>
    <row r="635" spans="2:2" x14ac:dyDescent="0.2">
      <c r="B635" t="s">
        <v>676</v>
      </c>
    </row>
    <row r="636" spans="2:2" x14ac:dyDescent="0.2">
      <c r="B636" t="s">
        <v>677</v>
      </c>
    </row>
    <row r="637" spans="2:2" x14ac:dyDescent="0.2">
      <c r="B637" t="s">
        <v>678</v>
      </c>
    </row>
    <row r="638" spans="2:2" x14ac:dyDescent="0.2">
      <c r="B638" t="s">
        <v>679</v>
      </c>
    </row>
    <row r="639" spans="2:2" x14ac:dyDescent="0.2">
      <c r="B639" t="s">
        <v>680</v>
      </c>
    </row>
    <row r="640" spans="2:2" x14ac:dyDescent="0.2">
      <c r="B640" t="s">
        <v>681</v>
      </c>
    </row>
    <row r="641" spans="2:2" x14ac:dyDescent="0.2">
      <c r="B641" t="s">
        <v>682</v>
      </c>
    </row>
    <row r="642" spans="2:2" x14ac:dyDescent="0.2">
      <c r="B642" t="s">
        <v>683</v>
      </c>
    </row>
    <row r="643" spans="2:2" x14ac:dyDescent="0.2">
      <c r="B643" t="s">
        <v>684</v>
      </c>
    </row>
    <row r="644" spans="2:2" x14ac:dyDescent="0.2">
      <c r="B644" t="s">
        <v>685</v>
      </c>
    </row>
    <row r="645" spans="2:2" x14ac:dyDescent="0.2">
      <c r="B645" t="s">
        <v>686</v>
      </c>
    </row>
    <row r="646" spans="2:2" x14ac:dyDescent="0.2">
      <c r="B646" t="s">
        <v>687</v>
      </c>
    </row>
    <row r="647" spans="2:2" x14ac:dyDescent="0.2">
      <c r="B647" t="s">
        <v>688</v>
      </c>
    </row>
    <row r="648" spans="2:2" x14ac:dyDescent="0.2">
      <c r="B648" t="s">
        <v>689</v>
      </c>
    </row>
    <row r="649" spans="2:2" x14ac:dyDescent="0.2">
      <c r="B649" t="s">
        <v>690</v>
      </c>
    </row>
    <row r="650" spans="2:2" x14ac:dyDescent="0.2">
      <c r="B650" t="s">
        <v>691</v>
      </c>
    </row>
    <row r="651" spans="2:2" x14ac:dyDescent="0.2">
      <c r="B651" t="s">
        <v>692</v>
      </c>
    </row>
    <row r="652" spans="2:2" x14ac:dyDescent="0.2">
      <c r="B652" t="s">
        <v>693</v>
      </c>
    </row>
    <row r="653" spans="2:2" x14ac:dyDescent="0.2">
      <c r="B653" t="s">
        <v>694</v>
      </c>
    </row>
    <row r="654" spans="2:2" x14ac:dyDescent="0.2">
      <c r="B654" t="s">
        <v>695</v>
      </c>
    </row>
    <row r="655" spans="2:2" x14ac:dyDescent="0.2">
      <c r="B655" t="s">
        <v>696</v>
      </c>
    </row>
    <row r="656" spans="2:2" x14ac:dyDescent="0.2">
      <c r="B656" t="s">
        <v>697</v>
      </c>
    </row>
    <row r="657" spans="2:2" x14ac:dyDescent="0.2">
      <c r="B657" t="s">
        <v>698</v>
      </c>
    </row>
    <row r="658" spans="2:2" x14ac:dyDescent="0.2">
      <c r="B658" t="s">
        <v>699</v>
      </c>
    </row>
    <row r="659" spans="2:2" x14ac:dyDescent="0.2">
      <c r="B659" t="s">
        <v>700</v>
      </c>
    </row>
    <row r="660" spans="2:2" x14ac:dyDescent="0.2">
      <c r="B660" t="s">
        <v>701</v>
      </c>
    </row>
    <row r="661" spans="2:2" x14ac:dyDescent="0.2">
      <c r="B661" t="s">
        <v>702</v>
      </c>
    </row>
    <row r="662" spans="2:2" x14ac:dyDescent="0.2">
      <c r="B662" t="s">
        <v>703</v>
      </c>
    </row>
    <row r="663" spans="2:2" x14ac:dyDescent="0.2">
      <c r="B663" t="s">
        <v>704</v>
      </c>
    </row>
    <row r="664" spans="2:2" x14ac:dyDescent="0.2">
      <c r="B664" t="s">
        <v>705</v>
      </c>
    </row>
    <row r="665" spans="2:2" x14ac:dyDescent="0.2">
      <c r="B665" t="s">
        <v>706</v>
      </c>
    </row>
    <row r="666" spans="2:2" x14ac:dyDescent="0.2">
      <c r="B666" t="s">
        <v>707</v>
      </c>
    </row>
    <row r="667" spans="2:2" x14ac:dyDescent="0.2">
      <c r="B667" t="s">
        <v>708</v>
      </c>
    </row>
    <row r="668" spans="2:2" x14ac:dyDescent="0.2">
      <c r="B668" t="s">
        <v>709</v>
      </c>
    </row>
    <row r="669" spans="2:2" x14ac:dyDescent="0.2">
      <c r="B669" t="s">
        <v>710</v>
      </c>
    </row>
    <row r="670" spans="2:2" x14ac:dyDescent="0.2">
      <c r="B670" t="s">
        <v>711</v>
      </c>
    </row>
    <row r="671" spans="2:2" x14ac:dyDescent="0.2">
      <c r="B671" t="s">
        <v>712</v>
      </c>
    </row>
    <row r="672" spans="2:2" x14ac:dyDescent="0.2">
      <c r="B672" t="s">
        <v>713</v>
      </c>
    </row>
    <row r="673" spans="2:2" x14ac:dyDescent="0.2">
      <c r="B673" t="s">
        <v>714</v>
      </c>
    </row>
    <row r="674" spans="2:2" x14ac:dyDescent="0.2">
      <c r="B674" t="s">
        <v>715</v>
      </c>
    </row>
    <row r="675" spans="2:2" x14ac:dyDescent="0.2">
      <c r="B675" t="s">
        <v>716</v>
      </c>
    </row>
    <row r="676" spans="2:2" x14ac:dyDescent="0.2">
      <c r="B676" t="s">
        <v>717</v>
      </c>
    </row>
    <row r="677" spans="2:2" x14ac:dyDescent="0.2">
      <c r="B677" t="s">
        <v>718</v>
      </c>
    </row>
    <row r="678" spans="2:2" x14ac:dyDescent="0.2">
      <c r="B678" t="s">
        <v>719</v>
      </c>
    </row>
    <row r="679" spans="2:2" x14ac:dyDescent="0.2">
      <c r="B679" t="s">
        <v>720</v>
      </c>
    </row>
    <row r="680" spans="2:2" x14ac:dyDescent="0.2">
      <c r="B680" t="s">
        <v>721</v>
      </c>
    </row>
    <row r="681" spans="2:2" x14ac:dyDescent="0.2">
      <c r="B681" t="s">
        <v>722</v>
      </c>
    </row>
    <row r="682" spans="2:2" x14ac:dyDescent="0.2">
      <c r="B682" t="s">
        <v>723</v>
      </c>
    </row>
    <row r="683" spans="2:2" x14ac:dyDescent="0.2">
      <c r="B683" t="s">
        <v>724</v>
      </c>
    </row>
    <row r="684" spans="2:2" x14ac:dyDescent="0.2">
      <c r="B684" t="s">
        <v>725</v>
      </c>
    </row>
    <row r="685" spans="2:2" x14ac:dyDescent="0.2">
      <c r="B685" t="s">
        <v>726</v>
      </c>
    </row>
    <row r="686" spans="2:2" x14ac:dyDescent="0.2">
      <c r="B686" t="s">
        <v>727</v>
      </c>
    </row>
    <row r="687" spans="2:2" x14ac:dyDescent="0.2">
      <c r="B687" t="s">
        <v>728</v>
      </c>
    </row>
    <row r="688" spans="2:2" x14ac:dyDescent="0.2">
      <c r="B688" t="s">
        <v>729</v>
      </c>
    </row>
    <row r="689" spans="2:2" x14ac:dyDescent="0.2">
      <c r="B689" t="s">
        <v>730</v>
      </c>
    </row>
    <row r="690" spans="2:2" x14ac:dyDescent="0.2">
      <c r="B690" t="s">
        <v>731</v>
      </c>
    </row>
    <row r="691" spans="2:2" x14ac:dyDescent="0.2">
      <c r="B691" t="s">
        <v>732</v>
      </c>
    </row>
    <row r="692" spans="2:2" x14ac:dyDescent="0.2">
      <c r="B692" t="s">
        <v>733</v>
      </c>
    </row>
    <row r="693" spans="2:2" x14ac:dyDescent="0.2">
      <c r="B693" t="s">
        <v>734</v>
      </c>
    </row>
    <row r="694" spans="2:2" x14ac:dyDescent="0.2">
      <c r="B694" t="s">
        <v>735</v>
      </c>
    </row>
    <row r="695" spans="2:2" x14ac:dyDescent="0.2">
      <c r="B695" t="s">
        <v>736</v>
      </c>
    </row>
    <row r="696" spans="2:2" x14ac:dyDescent="0.2">
      <c r="B696" t="s">
        <v>737</v>
      </c>
    </row>
    <row r="697" spans="2:2" x14ac:dyDescent="0.2">
      <c r="B697" t="s">
        <v>738</v>
      </c>
    </row>
    <row r="698" spans="2:2" x14ac:dyDescent="0.2">
      <c r="B698" t="s">
        <v>739</v>
      </c>
    </row>
    <row r="699" spans="2:2" x14ac:dyDescent="0.2">
      <c r="B699" t="s">
        <v>740</v>
      </c>
    </row>
    <row r="700" spans="2:2" x14ac:dyDescent="0.2">
      <c r="B700" t="s">
        <v>741</v>
      </c>
    </row>
    <row r="701" spans="2:2" x14ac:dyDescent="0.2">
      <c r="B701" t="s">
        <v>742</v>
      </c>
    </row>
    <row r="702" spans="2:2" x14ac:dyDescent="0.2">
      <c r="B702" t="s">
        <v>743</v>
      </c>
    </row>
    <row r="703" spans="2:2" x14ac:dyDescent="0.2">
      <c r="B703" t="s">
        <v>744</v>
      </c>
    </row>
    <row r="704" spans="2:2" x14ac:dyDescent="0.2">
      <c r="B704" t="s">
        <v>745</v>
      </c>
    </row>
    <row r="705" spans="2:2" x14ac:dyDescent="0.2">
      <c r="B705" t="s">
        <v>746</v>
      </c>
    </row>
    <row r="706" spans="2:2" x14ac:dyDescent="0.2">
      <c r="B706" t="s">
        <v>747</v>
      </c>
    </row>
    <row r="707" spans="2:2" x14ac:dyDescent="0.2">
      <c r="B707" t="s">
        <v>748</v>
      </c>
    </row>
    <row r="708" spans="2:2" x14ac:dyDescent="0.2">
      <c r="B708" t="s">
        <v>749</v>
      </c>
    </row>
    <row r="709" spans="2:2" x14ac:dyDescent="0.2">
      <c r="B709" t="s">
        <v>750</v>
      </c>
    </row>
    <row r="710" spans="2:2" x14ac:dyDescent="0.2">
      <c r="B710" t="s">
        <v>751</v>
      </c>
    </row>
    <row r="711" spans="2:2" x14ac:dyDescent="0.2">
      <c r="B711" t="s">
        <v>752</v>
      </c>
    </row>
    <row r="712" spans="2:2" x14ac:dyDescent="0.2">
      <c r="B712" t="s">
        <v>753</v>
      </c>
    </row>
    <row r="713" spans="2:2" x14ac:dyDescent="0.2">
      <c r="B713" t="s">
        <v>754</v>
      </c>
    </row>
    <row r="714" spans="2:2" x14ac:dyDescent="0.2">
      <c r="B714" t="s">
        <v>755</v>
      </c>
    </row>
    <row r="715" spans="2:2" x14ac:dyDescent="0.2">
      <c r="B715" t="s">
        <v>756</v>
      </c>
    </row>
    <row r="716" spans="2:2" x14ac:dyDescent="0.2">
      <c r="B716" t="s">
        <v>757</v>
      </c>
    </row>
    <row r="717" spans="2:2" x14ac:dyDescent="0.2">
      <c r="B717" t="s">
        <v>758</v>
      </c>
    </row>
    <row r="718" spans="2:2" x14ac:dyDescent="0.2">
      <c r="B718" t="s">
        <v>759</v>
      </c>
    </row>
    <row r="719" spans="2:2" x14ac:dyDescent="0.2">
      <c r="B719" t="s">
        <v>760</v>
      </c>
    </row>
    <row r="720" spans="2:2" x14ac:dyDescent="0.2">
      <c r="B720" t="s">
        <v>761</v>
      </c>
    </row>
    <row r="721" spans="2:2" x14ac:dyDescent="0.2">
      <c r="B721" t="s">
        <v>762</v>
      </c>
    </row>
    <row r="722" spans="2:2" x14ac:dyDescent="0.2">
      <c r="B722" t="s">
        <v>763</v>
      </c>
    </row>
    <row r="723" spans="2:2" x14ac:dyDescent="0.2">
      <c r="B723" t="s">
        <v>764</v>
      </c>
    </row>
    <row r="724" spans="2:2" x14ac:dyDescent="0.2">
      <c r="B724" t="s">
        <v>765</v>
      </c>
    </row>
    <row r="725" spans="2:2" x14ac:dyDescent="0.2">
      <c r="B725" t="s">
        <v>766</v>
      </c>
    </row>
    <row r="726" spans="2:2" x14ac:dyDescent="0.2">
      <c r="B726" t="s">
        <v>767</v>
      </c>
    </row>
    <row r="727" spans="2:2" x14ac:dyDescent="0.2">
      <c r="B727" t="s">
        <v>768</v>
      </c>
    </row>
    <row r="728" spans="2:2" x14ac:dyDescent="0.2">
      <c r="B728" t="s">
        <v>769</v>
      </c>
    </row>
    <row r="729" spans="2:2" x14ac:dyDescent="0.2">
      <c r="B729" t="s">
        <v>770</v>
      </c>
    </row>
    <row r="730" spans="2:2" x14ac:dyDescent="0.2">
      <c r="B730" t="s">
        <v>771</v>
      </c>
    </row>
    <row r="731" spans="2:2" x14ac:dyDescent="0.2">
      <c r="B731" t="s">
        <v>772</v>
      </c>
    </row>
    <row r="732" spans="2:2" x14ac:dyDescent="0.2">
      <c r="B732" t="s">
        <v>773</v>
      </c>
    </row>
    <row r="733" spans="2:2" x14ac:dyDescent="0.2">
      <c r="B733" t="s">
        <v>774</v>
      </c>
    </row>
    <row r="734" spans="2:2" x14ac:dyDescent="0.2">
      <c r="B734" t="s">
        <v>775</v>
      </c>
    </row>
    <row r="735" spans="2:2" x14ac:dyDescent="0.2">
      <c r="B735" t="s">
        <v>776</v>
      </c>
    </row>
    <row r="736" spans="2:2" x14ac:dyDescent="0.2">
      <c r="B736" t="s">
        <v>777</v>
      </c>
    </row>
    <row r="737" spans="2:2" x14ac:dyDescent="0.2">
      <c r="B737" t="s">
        <v>778</v>
      </c>
    </row>
    <row r="738" spans="2:2" x14ac:dyDescent="0.2">
      <c r="B738" t="s">
        <v>779</v>
      </c>
    </row>
    <row r="739" spans="2:2" x14ac:dyDescent="0.2">
      <c r="B739" t="s">
        <v>780</v>
      </c>
    </row>
    <row r="740" spans="2:2" x14ac:dyDescent="0.2">
      <c r="B740" t="s">
        <v>781</v>
      </c>
    </row>
    <row r="741" spans="2:2" x14ac:dyDescent="0.2">
      <c r="B741" t="s">
        <v>782</v>
      </c>
    </row>
    <row r="742" spans="2:2" x14ac:dyDescent="0.2">
      <c r="B742" t="s">
        <v>783</v>
      </c>
    </row>
    <row r="743" spans="2:2" x14ac:dyDescent="0.2">
      <c r="B743" t="s">
        <v>784</v>
      </c>
    </row>
    <row r="744" spans="2:2" x14ac:dyDescent="0.2">
      <c r="B744" t="s">
        <v>785</v>
      </c>
    </row>
    <row r="745" spans="2:2" x14ac:dyDescent="0.2">
      <c r="B745" t="s">
        <v>786</v>
      </c>
    </row>
    <row r="746" spans="2:2" x14ac:dyDescent="0.2">
      <c r="B746" t="s">
        <v>787</v>
      </c>
    </row>
    <row r="747" spans="2:2" x14ac:dyDescent="0.2">
      <c r="B747" t="s">
        <v>788</v>
      </c>
    </row>
    <row r="748" spans="2:2" x14ac:dyDescent="0.2">
      <c r="B748" t="s">
        <v>789</v>
      </c>
    </row>
    <row r="749" spans="2:2" x14ac:dyDescent="0.2">
      <c r="B749" t="s">
        <v>790</v>
      </c>
    </row>
    <row r="750" spans="2:2" x14ac:dyDescent="0.2">
      <c r="B750" t="s">
        <v>791</v>
      </c>
    </row>
    <row r="751" spans="2:2" x14ac:dyDescent="0.2">
      <c r="B751" t="s">
        <v>792</v>
      </c>
    </row>
    <row r="752" spans="2:2" x14ac:dyDescent="0.2">
      <c r="B752" t="s">
        <v>793</v>
      </c>
    </row>
    <row r="753" spans="2:2" x14ac:dyDescent="0.2">
      <c r="B753" t="s">
        <v>794</v>
      </c>
    </row>
    <row r="754" spans="2:2" x14ac:dyDescent="0.2">
      <c r="B754" t="s">
        <v>795</v>
      </c>
    </row>
    <row r="755" spans="2:2" x14ac:dyDescent="0.2">
      <c r="B755" t="s">
        <v>796</v>
      </c>
    </row>
    <row r="756" spans="2:2" x14ac:dyDescent="0.2">
      <c r="B756" t="s">
        <v>797</v>
      </c>
    </row>
    <row r="757" spans="2:2" x14ac:dyDescent="0.2">
      <c r="B757" t="s">
        <v>798</v>
      </c>
    </row>
    <row r="758" spans="2:2" x14ac:dyDescent="0.2">
      <c r="B758" t="s">
        <v>799</v>
      </c>
    </row>
    <row r="759" spans="2:2" x14ac:dyDescent="0.2">
      <c r="B759" t="s">
        <v>800</v>
      </c>
    </row>
    <row r="760" spans="2:2" x14ac:dyDescent="0.2">
      <c r="B760" t="s">
        <v>801</v>
      </c>
    </row>
    <row r="761" spans="2:2" x14ac:dyDescent="0.2">
      <c r="B761" t="s">
        <v>802</v>
      </c>
    </row>
    <row r="762" spans="2:2" x14ac:dyDescent="0.2">
      <c r="B762" t="s">
        <v>803</v>
      </c>
    </row>
    <row r="763" spans="2:2" x14ac:dyDescent="0.2">
      <c r="B763" t="s">
        <v>804</v>
      </c>
    </row>
    <row r="764" spans="2:2" x14ac:dyDescent="0.2">
      <c r="B764" t="s">
        <v>805</v>
      </c>
    </row>
    <row r="765" spans="2:2" x14ac:dyDescent="0.2">
      <c r="B765" t="s">
        <v>806</v>
      </c>
    </row>
    <row r="766" spans="2:2" x14ac:dyDescent="0.2">
      <c r="B766" t="s">
        <v>807</v>
      </c>
    </row>
    <row r="767" spans="2:2" x14ac:dyDescent="0.2">
      <c r="B767" t="s">
        <v>808</v>
      </c>
    </row>
    <row r="768" spans="2:2" x14ac:dyDescent="0.2">
      <c r="B768" t="s">
        <v>809</v>
      </c>
    </row>
    <row r="769" spans="2:2" x14ac:dyDescent="0.2">
      <c r="B769" t="s">
        <v>810</v>
      </c>
    </row>
    <row r="770" spans="2:2" x14ac:dyDescent="0.2">
      <c r="B770" t="s">
        <v>811</v>
      </c>
    </row>
    <row r="771" spans="2:2" x14ac:dyDescent="0.2">
      <c r="B771" t="s">
        <v>812</v>
      </c>
    </row>
    <row r="772" spans="2:2" x14ac:dyDescent="0.2">
      <c r="B772" t="s">
        <v>813</v>
      </c>
    </row>
    <row r="773" spans="2:2" x14ac:dyDescent="0.2">
      <c r="B773" t="s">
        <v>814</v>
      </c>
    </row>
    <row r="774" spans="2:2" x14ac:dyDescent="0.2">
      <c r="B774" t="s">
        <v>815</v>
      </c>
    </row>
    <row r="775" spans="2:2" x14ac:dyDescent="0.2">
      <c r="B775" t="s">
        <v>816</v>
      </c>
    </row>
    <row r="776" spans="2:2" x14ac:dyDescent="0.2">
      <c r="B776" t="s">
        <v>817</v>
      </c>
    </row>
    <row r="777" spans="2:2" x14ac:dyDescent="0.2">
      <c r="B777" t="s">
        <v>818</v>
      </c>
    </row>
    <row r="778" spans="2:2" x14ac:dyDescent="0.2">
      <c r="B778" t="s">
        <v>819</v>
      </c>
    </row>
    <row r="779" spans="2:2" x14ac:dyDescent="0.2">
      <c r="B779" t="s">
        <v>820</v>
      </c>
    </row>
    <row r="780" spans="2:2" x14ac:dyDescent="0.2">
      <c r="B780" t="s">
        <v>821</v>
      </c>
    </row>
    <row r="781" spans="2:2" x14ac:dyDescent="0.2">
      <c r="B781" t="s">
        <v>822</v>
      </c>
    </row>
    <row r="782" spans="2:2" x14ac:dyDescent="0.2">
      <c r="B782" t="s">
        <v>823</v>
      </c>
    </row>
    <row r="783" spans="2:2" x14ac:dyDescent="0.2">
      <c r="B783" t="s">
        <v>824</v>
      </c>
    </row>
    <row r="784" spans="2:2" x14ac:dyDescent="0.2">
      <c r="B784" t="s">
        <v>825</v>
      </c>
    </row>
    <row r="785" spans="2:2" x14ac:dyDescent="0.2">
      <c r="B785" t="s">
        <v>826</v>
      </c>
    </row>
    <row r="786" spans="2:2" x14ac:dyDescent="0.2">
      <c r="B786" t="s">
        <v>827</v>
      </c>
    </row>
    <row r="787" spans="2:2" x14ac:dyDescent="0.2">
      <c r="B787" t="s">
        <v>828</v>
      </c>
    </row>
    <row r="788" spans="2:2" x14ac:dyDescent="0.2">
      <c r="B788" t="s">
        <v>829</v>
      </c>
    </row>
    <row r="789" spans="2:2" x14ac:dyDescent="0.2">
      <c r="B789" t="s">
        <v>830</v>
      </c>
    </row>
    <row r="790" spans="2:2" x14ac:dyDescent="0.2">
      <c r="B790" t="s">
        <v>831</v>
      </c>
    </row>
    <row r="791" spans="2:2" x14ac:dyDescent="0.2">
      <c r="B791" t="s">
        <v>832</v>
      </c>
    </row>
    <row r="792" spans="2:2" x14ac:dyDescent="0.2">
      <c r="B792" t="s">
        <v>833</v>
      </c>
    </row>
    <row r="793" spans="2:2" x14ac:dyDescent="0.2">
      <c r="B793" t="s">
        <v>834</v>
      </c>
    </row>
    <row r="794" spans="2:2" x14ac:dyDescent="0.2">
      <c r="B794" t="s">
        <v>835</v>
      </c>
    </row>
    <row r="795" spans="2:2" x14ac:dyDescent="0.2">
      <c r="B795" t="s">
        <v>836</v>
      </c>
    </row>
    <row r="796" spans="2:2" x14ac:dyDescent="0.2">
      <c r="B796" t="s">
        <v>837</v>
      </c>
    </row>
    <row r="797" spans="2:2" x14ac:dyDescent="0.2">
      <c r="B797" t="s">
        <v>838</v>
      </c>
    </row>
    <row r="798" spans="2:2" x14ac:dyDescent="0.2">
      <c r="B798" t="s">
        <v>839</v>
      </c>
    </row>
    <row r="799" spans="2:2" x14ac:dyDescent="0.2">
      <c r="B799" t="s">
        <v>840</v>
      </c>
    </row>
    <row r="800" spans="2:2" x14ac:dyDescent="0.2">
      <c r="B800" t="s">
        <v>841</v>
      </c>
    </row>
    <row r="801" spans="2:2" x14ac:dyDescent="0.2">
      <c r="B801" t="s">
        <v>842</v>
      </c>
    </row>
    <row r="802" spans="2:2" x14ac:dyDescent="0.2">
      <c r="B802" t="s">
        <v>843</v>
      </c>
    </row>
    <row r="803" spans="2:2" x14ac:dyDescent="0.2">
      <c r="B803" t="s">
        <v>844</v>
      </c>
    </row>
    <row r="804" spans="2:2" x14ac:dyDescent="0.2">
      <c r="B804" t="s">
        <v>845</v>
      </c>
    </row>
    <row r="805" spans="2:2" x14ac:dyDescent="0.2">
      <c r="B805" t="s">
        <v>846</v>
      </c>
    </row>
    <row r="806" spans="2:2" x14ac:dyDescent="0.2">
      <c r="B806" t="s">
        <v>847</v>
      </c>
    </row>
    <row r="807" spans="2:2" x14ac:dyDescent="0.2">
      <c r="B807" t="s">
        <v>848</v>
      </c>
    </row>
    <row r="808" spans="2:2" x14ac:dyDescent="0.2">
      <c r="B808" t="s">
        <v>849</v>
      </c>
    </row>
    <row r="809" spans="2:2" x14ac:dyDescent="0.2">
      <c r="B809" t="s">
        <v>850</v>
      </c>
    </row>
    <row r="810" spans="2:2" x14ac:dyDescent="0.2">
      <c r="B810" t="s">
        <v>851</v>
      </c>
    </row>
    <row r="811" spans="2:2" x14ac:dyDescent="0.2">
      <c r="B811" t="s">
        <v>852</v>
      </c>
    </row>
    <row r="812" spans="2:2" x14ac:dyDescent="0.2">
      <c r="B812" t="s">
        <v>853</v>
      </c>
    </row>
    <row r="813" spans="2:2" x14ac:dyDescent="0.2">
      <c r="B813" t="s">
        <v>854</v>
      </c>
    </row>
    <row r="814" spans="2:2" x14ac:dyDescent="0.2">
      <c r="B814" t="s">
        <v>855</v>
      </c>
    </row>
    <row r="815" spans="2:2" x14ac:dyDescent="0.2">
      <c r="B815" t="s">
        <v>856</v>
      </c>
    </row>
    <row r="816" spans="2:2" x14ac:dyDescent="0.2">
      <c r="B816" t="s">
        <v>857</v>
      </c>
    </row>
    <row r="817" spans="2:2" x14ac:dyDescent="0.2">
      <c r="B817" t="s">
        <v>858</v>
      </c>
    </row>
    <row r="818" spans="2:2" x14ac:dyDescent="0.2">
      <c r="B818" t="s">
        <v>859</v>
      </c>
    </row>
    <row r="819" spans="2:2" x14ac:dyDescent="0.2">
      <c r="B819" t="s">
        <v>860</v>
      </c>
    </row>
    <row r="820" spans="2:2" x14ac:dyDescent="0.2">
      <c r="B820" t="s">
        <v>861</v>
      </c>
    </row>
    <row r="821" spans="2:2" x14ac:dyDescent="0.2">
      <c r="B821" t="s">
        <v>862</v>
      </c>
    </row>
    <row r="822" spans="2:2" x14ac:dyDescent="0.2">
      <c r="B822" t="s">
        <v>863</v>
      </c>
    </row>
    <row r="823" spans="2:2" x14ac:dyDescent="0.2">
      <c r="B823" t="s">
        <v>864</v>
      </c>
    </row>
    <row r="824" spans="2:2" x14ac:dyDescent="0.2">
      <c r="B824" t="s">
        <v>865</v>
      </c>
    </row>
    <row r="825" spans="2:2" x14ac:dyDescent="0.2">
      <c r="B825" t="s">
        <v>866</v>
      </c>
    </row>
    <row r="826" spans="2:2" x14ac:dyDescent="0.2">
      <c r="B826" t="s">
        <v>867</v>
      </c>
    </row>
    <row r="827" spans="2:2" x14ac:dyDescent="0.2">
      <c r="B827" t="s">
        <v>868</v>
      </c>
    </row>
    <row r="828" spans="2:2" x14ac:dyDescent="0.2">
      <c r="B828" t="s">
        <v>869</v>
      </c>
    </row>
    <row r="829" spans="2:2" x14ac:dyDescent="0.2">
      <c r="B829" t="s">
        <v>870</v>
      </c>
    </row>
    <row r="830" spans="2:2" x14ac:dyDescent="0.2">
      <c r="B830" t="s">
        <v>871</v>
      </c>
    </row>
    <row r="831" spans="2:2" x14ac:dyDescent="0.2">
      <c r="B831" t="s">
        <v>872</v>
      </c>
    </row>
    <row r="832" spans="2:2" x14ac:dyDescent="0.2">
      <c r="B832" t="s">
        <v>873</v>
      </c>
    </row>
    <row r="833" spans="2:2" x14ac:dyDescent="0.2">
      <c r="B833" t="s">
        <v>874</v>
      </c>
    </row>
    <row r="834" spans="2:2" x14ac:dyDescent="0.2">
      <c r="B834" t="s">
        <v>875</v>
      </c>
    </row>
    <row r="835" spans="2:2" x14ac:dyDescent="0.2">
      <c r="B835" t="s">
        <v>876</v>
      </c>
    </row>
    <row r="836" spans="2:2" x14ac:dyDescent="0.2">
      <c r="B836" t="s">
        <v>877</v>
      </c>
    </row>
    <row r="837" spans="2:2" x14ac:dyDescent="0.2">
      <c r="B837" t="s">
        <v>878</v>
      </c>
    </row>
    <row r="838" spans="2:2" x14ac:dyDescent="0.2">
      <c r="B838" t="s">
        <v>879</v>
      </c>
    </row>
    <row r="839" spans="2:2" x14ac:dyDescent="0.2">
      <c r="B839" t="s">
        <v>880</v>
      </c>
    </row>
    <row r="840" spans="2:2" x14ac:dyDescent="0.2">
      <c r="B840" t="s">
        <v>881</v>
      </c>
    </row>
    <row r="841" spans="2:2" x14ac:dyDescent="0.2">
      <c r="B841" t="s">
        <v>882</v>
      </c>
    </row>
    <row r="842" spans="2:2" x14ac:dyDescent="0.2">
      <c r="B842" t="s">
        <v>883</v>
      </c>
    </row>
    <row r="843" spans="2:2" x14ac:dyDescent="0.2">
      <c r="B843" t="s">
        <v>884</v>
      </c>
    </row>
    <row r="844" spans="2:2" x14ac:dyDescent="0.2">
      <c r="B844" t="s">
        <v>885</v>
      </c>
    </row>
    <row r="845" spans="2:2" x14ac:dyDescent="0.2">
      <c r="B845" t="s">
        <v>886</v>
      </c>
    </row>
    <row r="846" spans="2:2" x14ac:dyDescent="0.2">
      <c r="B846" t="s">
        <v>887</v>
      </c>
    </row>
    <row r="847" spans="2:2" x14ac:dyDescent="0.2">
      <c r="B847" t="s">
        <v>888</v>
      </c>
    </row>
    <row r="848" spans="2:2" x14ac:dyDescent="0.2">
      <c r="B848" t="s">
        <v>889</v>
      </c>
    </row>
    <row r="849" spans="2:2" x14ac:dyDescent="0.2">
      <c r="B849" t="s">
        <v>890</v>
      </c>
    </row>
    <row r="850" spans="2:2" x14ac:dyDescent="0.2">
      <c r="B850" t="s">
        <v>891</v>
      </c>
    </row>
    <row r="851" spans="2:2" x14ac:dyDescent="0.2">
      <c r="B851" t="s">
        <v>892</v>
      </c>
    </row>
    <row r="852" spans="2:2" x14ac:dyDescent="0.2">
      <c r="B852" t="s">
        <v>893</v>
      </c>
    </row>
    <row r="853" spans="2:2" x14ac:dyDescent="0.2">
      <c r="B853" t="s">
        <v>894</v>
      </c>
    </row>
    <row r="854" spans="2:2" x14ac:dyDescent="0.2">
      <c r="B854" t="s">
        <v>895</v>
      </c>
    </row>
    <row r="855" spans="2:2" x14ac:dyDescent="0.2">
      <c r="B855" t="s">
        <v>896</v>
      </c>
    </row>
    <row r="856" spans="2:2" x14ac:dyDescent="0.2">
      <c r="B856" t="s">
        <v>897</v>
      </c>
    </row>
    <row r="857" spans="2:2" x14ac:dyDescent="0.2">
      <c r="B857" t="s">
        <v>898</v>
      </c>
    </row>
    <row r="858" spans="2:2" x14ac:dyDescent="0.2">
      <c r="B858" t="s">
        <v>899</v>
      </c>
    </row>
    <row r="859" spans="2:2" x14ac:dyDescent="0.2">
      <c r="B859" t="s">
        <v>900</v>
      </c>
    </row>
    <row r="860" spans="2:2" x14ac:dyDescent="0.2">
      <c r="B860" t="s">
        <v>901</v>
      </c>
    </row>
    <row r="861" spans="2:2" x14ac:dyDescent="0.2">
      <c r="B861" t="s">
        <v>902</v>
      </c>
    </row>
    <row r="862" spans="2:2" x14ac:dyDescent="0.2">
      <c r="B862" t="s">
        <v>903</v>
      </c>
    </row>
    <row r="863" spans="2:2" x14ac:dyDescent="0.2">
      <c r="B863" t="s">
        <v>904</v>
      </c>
    </row>
    <row r="864" spans="2:2" x14ac:dyDescent="0.2">
      <c r="B864" t="s">
        <v>905</v>
      </c>
    </row>
    <row r="865" spans="2:2" x14ac:dyDescent="0.2">
      <c r="B865" t="s">
        <v>906</v>
      </c>
    </row>
    <row r="866" spans="2:2" x14ac:dyDescent="0.2">
      <c r="B866" t="s">
        <v>907</v>
      </c>
    </row>
    <row r="867" spans="2:2" x14ac:dyDescent="0.2">
      <c r="B867" t="s">
        <v>908</v>
      </c>
    </row>
    <row r="868" spans="2:2" x14ac:dyDescent="0.2">
      <c r="B868" t="s">
        <v>909</v>
      </c>
    </row>
    <row r="869" spans="2:2" x14ac:dyDescent="0.2">
      <c r="B869" t="s">
        <v>910</v>
      </c>
    </row>
    <row r="870" spans="2:2" x14ac:dyDescent="0.2">
      <c r="B870" t="s">
        <v>911</v>
      </c>
    </row>
    <row r="871" spans="2:2" x14ac:dyDescent="0.2">
      <c r="B871" t="s">
        <v>912</v>
      </c>
    </row>
    <row r="872" spans="2:2" x14ac:dyDescent="0.2">
      <c r="B872" t="s">
        <v>913</v>
      </c>
    </row>
    <row r="873" spans="2:2" x14ac:dyDescent="0.2">
      <c r="B873" t="s">
        <v>914</v>
      </c>
    </row>
    <row r="874" spans="2:2" x14ac:dyDescent="0.2">
      <c r="B874" t="s">
        <v>915</v>
      </c>
    </row>
    <row r="875" spans="2:2" x14ac:dyDescent="0.2">
      <c r="B875" t="s">
        <v>916</v>
      </c>
    </row>
    <row r="876" spans="2:2" x14ac:dyDescent="0.2">
      <c r="B876" t="s">
        <v>917</v>
      </c>
    </row>
    <row r="877" spans="2:2" x14ac:dyDescent="0.2">
      <c r="B877" t="s">
        <v>918</v>
      </c>
    </row>
    <row r="878" spans="2:2" x14ac:dyDescent="0.2">
      <c r="B878" t="s">
        <v>919</v>
      </c>
    </row>
    <row r="879" spans="2:2" x14ac:dyDescent="0.2">
      <c r="B879" t="s">
        <v>920</v>
      </c>
    </row>
    <row r="880" spans="2:2" x14ac:dyDescent="0.2">
      <c r="B880" t="s">
        <v>921</v>
      </c>
    </row>
    <row r="881" spans="2:2" x14ac:dyDescent="0.2">
      <c r="B881" t="s">
        <v>922</v>
      </c>
    </row>
    <row r="882" spans="2:2" x14ac:dyDescent="0.2">
      <c r="B882" t="s">
        <v>923</v>
      </c>
    </row>
    <row r="883" spans="2:2" x14ac:dyDescent="0.2">
      <c r="B883" t="s">
        <v>924</v>
      </c>
    </row>
    <row r="884" spans="2:2" x14ac:dyDescent="0.2">
      <c r="B884" t="s">
        <v>925</v>
      </c>
    </row>
    <row r="885" spans="2:2" x14ac:dyDescent="0.2">
      <c r="B885" t="s">
        <v>926</v>
      </c>
    </row>
    <row r="886" spans="2:2" x14ac:dyDescent="0.2">
      <c r="B886" t="s">
        <v>927</v>
      </c>
    </row>
    <row r="887" spans="2:2" x14ac:dyDescent="0.2">
      <c r="B887" t="s">
        <v>928</v>
      </c>
    </row>
    <row r="888" spans="2:2" x14ac:dyDescent="0.2">
      <c r="B888" t="s">
        <v>929</v>
      </c>
    </row>
    <row r="889" spans="2:2" x14ac:dyDescent="0.2">
      <c r="B889" t="s">
        <v>930</v>
      </c>
    </row>
    <row r="890" spans="2:2" x14ac:dyDescent="0.2">
      <c r="B890" t="s">
        <v>931</v>
      </c>
    </row>
    <row r="891" spans="2:2" x14ac:dyDescent="0.2">
      <c r="B891" t="s">
        <v>932</v>
      </c>
    </row>
    <row r="892" spans="2:2" x14ac:dyDescent="0.2">
      <c r="B892" t="s">
        <v>933</v>
      </c>
    </row>
    <row r="893" spans="2:2" x14ac:dyDescent="0.2">
      <c r="B893" t="s">
        <v>934</v>
      </c>
    </row>
    <row r="894" spans="2:2" x14ac:dyDescent="0.2">
      <c r="B894" t="s">
        <v>935</v>
      </c>
    </row>
    <row r="895" spans="2:2" x14ac:dyDescent="0.2">
      <c r="B895" t="s">
        <v>936</v>
      </c>
    </row>
    <row r="896" spans="2:2" x14ac:dyDescent="0.2">
      <c r="B896" t="s">
        <v>937</v>
      </c>
    </row>
    <row r="897" spans="2:2" x14ac:dyDescent="0.2">
      <c r="B897" t="s">
        <v>938</v>
      </c>
    </row>
    <row r="898" spans="2:2" x14ac:dyDescent="0.2">
      <c r="B898" t="s">
        <v>939</v>
      </c>
    </row>
    <row r="899" spans="2:2" x14ac:dyDescent="0.2">
      <c r="B899" t="s">
        <v>940</v>
      </c>
    </row>
    <row r="900" spans="2:2" x14ac:dyDescent="0.2">
      <c r="B900" t="s">
        <v>941</v>
      </c>
    </row>
    <row r="901" spans="2:2" x14ac:dyDescent="0.2">
      <c r="B901" t="s">
        <v>942</v>
      </c>
    </row>
    <row r="902" spans="2:2" x14ac:dyDescent="0.2">
      <c r="B902" t="s">
        <v>943</v>
      </c>
    </row>
    <row r="903" spans="2:2" x14ac:dyDescent="0.2">
      <c r="B903" t="s">
        <v>944</v>
      </c>
    </row>
    <row r="904" spans="2:2" x14ac:dyDescent="0.2">
      <c r="B904" t="s">
        <v>945</v>
      </c>
    </row>
    <row r="905" spans="2:2" x14ac:dyDescent="0.2">
      <c r="B905" t="s">
        <v>946</v>
      </c>
    </row>
    <row r="906" spans="2:2" x14ac:dyDescent="0.2">
      <c r="B906" t="s">
        <v>947</v>
      </c>
    </row>
    <row r="907" spans="2:2" x14ac:dyDescent="0.2">
      <c r="B907" t="s">
        <v>948</v>
      </c>
    </row>
    <row r="908" spans="2:2" x14ac:dyDescent="0.2">
      <c r="B908" t="s">
        <v>949</v>
      </c>
    </row>
    <row r="909" spans="2:2" x14ac:dyDescent="0.2">
      <c r="B909" t="s">
        <v>950</v>
      </c>
    </row>
    <row r="910" spans="2:2" x14ac:dyDescent="0.2">
      <c r="B910" t="s">
        <v>951</v>
      </c>
    </row>
    <row r="911" spans="2:2" x14ac:dyDescent="0.2">
      <c r="B911" t="s">
        <v>952</v>
      </c>
    </row>
    <row r="912" spans="2:2" x14ac:dyDescent="0.2">
      <c r="B912" t="s">
        <v>953</v>
      </c>
    </row>
    <row r="913" spans="2:2" x14ac:dyDescent="0.2">
      <c r="B913" t="s">
        <v>954</v>
      </c>
    </row>
    <row r="914" spans="2:2" x14ac:dyDescent="0.2">
      <c r="B914" t="s">
        <v>955</v>
      </c>
    </row>
    <row r="915" spans="2:2" x14ac:dyDescent="0.2">
      <c r="B915" t="s">
        <v>956</v>
      </c>
    </row>
    <row r="916" spans="2:2" x14ac:dyDescent="0.2">
      <c r="B916" t="s">
        <v>957</v>
      </c>
    </row>
    <row r="917" spans="2:2" x14ac:dyDescent="0.2">
      <c r="B917" t="s">
        <v>958</v>
      </c>
    </row>
    <row r="918" spans="2:2" x14ac:dyDescent="0.2">
      <c r="B918" t="s">
        <v>959</v>
      </c>
    </row>
    <row r="919" spans="2:2" x14ac:dyDescent="0.2">
      <c r="B919" t="s">
        <v>960</v>
      </c>
    </row>
    <row r="920" spans="2:2" x14ac:dyDescent="0.2">
      <c r="B920" t="s">
        <v>961</v>
      </c>
    </row>
    <row r="921" spans="2:2" x14ac:dyDescent="0.2">
      <c r="B921" t="s">
        <v>962</v>
      </c>
    </row>
    <row r="922" spans="2:2" x14ac:dyDescent="0.2">
      <c r="B922" t="s">
        <v>963</v>
      </c>
    </row>
    <row r="923" spans="2:2" x14ac:dyDescent="0.2">
      <c r="B923" t="s">
        <v>964</v>
      </c>
    </row>
    <row r="924" spans="2:2" x14ac:dyDescent="0.2">
      <c r="B924" t="s">
        <v>965</v>
      </c>
    </row>
    <row r="925" spans="2:2" x14ac:dyDescent="0.2">
      <c r="B925" t="s">
        <v>966</v>
      </c>
    </row>
    <row r="926" spans="2:2" x14ac:dyDescent="0.2">
      <c r="B926" t="s">
        <v>967</v>
      </c>
    </row>
    <row r="927" spans="2:2" x14ac:dyDescent="0.2">
      <c r="B927" t="s">
        <v>968</v>
      </c>
    </row>
    <row r="928" spans="2:2" x14ac:dyDescent="0.2">
      <c r="B928" t="s">
        <v>969</v>
      </c>
    </row>
    <row r="929" spans="2:2" x14ac:dyDescent="0.2">
      <c r="B929" t="s">
        <v>970</v>
      </c>
    </row>
    <row r="930" spans="2:2" x14ac:dyDescent="0.2">
      <c r="B930" t="s">
        <v>971</v>
      </c>
    </row>
    <row r="931" spans="2:2" x14ac:dyDescent="0.2">
      <c r="B931" t="s">
        <v>972</v>
      </c>
    </row>
    <row r="932" spans="2:2" x14ac:dyDescent="0.2">
      <c r="B932" t="s">
        <v>973</v>
      </c>
    </row>
    <row r="933" spans="2:2" x14ac:dyDescent="0.2">
      <c r="B933" t="s">
        <v>974</v>
      </c>
    </row>
    <row r="934" spans="2:2" x14ac:dyDescent="0.2">
      <c r="B934" t="s">
        <v>975</v>
      </c>
    </row>
    <row r="935" spans="2:2" x14ac:dyDescent="0.2">
      <c r="B935" t="s">
        <v>976</v>
      </c>
    </row>
    <row r="936" spans="2:2" x14ac:dyDescent="0.2">
      <c r="B936" t="s">
        <v>977</v>
      </c>
    </row>
    <row r="937" spans="2:2" x14ac:dyDescent="0.2">
      <c r="B937" t="s">
        <v>978</v>
      </c>
    </row>
    <row r="938" spans="2:2" x14ac:dyDescent="0.2">
      <c r="B938" t="s">
        <v>979</v>
      </c>
    </row>
    <row r="939" spans="2:2" x14ac:dyDescent="0.2">
      <c r="B939" t="s">
        <v>980</v>
      </c>
    </row>
    <row r="940" spans="2:2" x14ac:dyDescent="0.2">
      <c r="B940" t="s">
        <v>981</v>
      </c>
    </row>
    <row r="941" spans="2:2" x14ac:dyDescent="0.2">
      <c r="B941" t="s">
        <v>982</v>
      </c>
    </row>
    <row r="942" spans="2:2" x14ac:dyDescent="0.2">
      <c r="B942" t="s">
        <v>983</v>
      </c>
    </row>
    <row r="943" spans="2:2" x14ac:dyDescent="0.2">
      <c r="B943" t="s">
        <v>984</v>
      </c>
    </row>
    <row r="944" spans="2:2" x14ac:dyDescent="0.2">
      <c r="B944" t="s">
        <v>985</v>
      </c>
    </row>
    <row r="945" spans="2:2" x14ac:dyDescent="0.2">
      <c r="B945" t="s">
        <v>986</v>
      </c>
    </row>
    <row r="946" spans="2:2" x14ac:dyDescent="0.2">
      <c r="B946" t="s">
        <v>987</v>
      </c>
    </row>
    <row r="947" spans="2:2" x14ac:dyDescent="0.2">
      <c r="B947" t="s">
        <v>988</v>
      </c>
    </row>
    <row r="948" spans="2:2" x14ac:dyDescent="0.2">
      <c r="B948" t="s">
        <v>989</v>
      </c>
    </row>
    <row r="949" spans="2:2" x14ac:dyDescent="0.2">
      <c r="B949" t="s">
        <v>990</v>
      </c>
    </row>
    <row r="950" spans="2:2" x14ac:dyDescent="0.2">
      <c r="B950" t="s">
        <v>991</v>
      </c>
    </row>
    <row r="951" spans="2:2" x14ac:dyDescent="0.2">
      <c r="B951" t="s">
        <v>992</v>
      </c>
    </row>
    <row r="952" spans="2:2" x14ac:dyDescent="0.2">
      <c r="B952" t="s">
        <v>993</v>
      </c>
    </row>
    <row r="953" spans="2:2" x14ac:dyDescent="0.2">
      <c r="B953" t="s">
        <v>994</v>
      </c>
    </row>
    <row r="954" spans="2:2" x14ac:dyDescent="0.2">
      <c r="B954" t="s">
        <v>995</v>
      </c>
    </row>
    <row r="955" spans="2:2" x14ac:dyDescent="0.2">
      <c r="B955" t="s">
        <v>996</v>
      </c>
    </row>
    <row r="956" spans="2:2" x14ac:dyDescent="0.2">
      <c r="B956" t="s">
        <v>997</v>
      </c>
    </row>
    <row r="957" spans="2:2" x14ac:dyDescent="0.2">
      <c r="B957" t="s">
        <v>998</v>
      </c>
    </row>
    <row r="958" spans="2:2" x14ac:dyDescent="0.2">
      <c r="B958" t="s">
        <v>999</v>
      </c>
    </row>
    <row r="959" spans="2:2" x14ac:dyDescent="0.2">
      <c r="B959" t="s">
        <v>1000</v>
      </c>
    </row>
    <row r="960" spans="2:2" x14ac:dyDescent="0.2">
      <c r="B960" t="s">
        <v>1001</v>
      </c>
    </row>
    <row r="961" spans="2:2" x14ac:dyDescent="0.2">
      <c r="B961" t="s">
        <v>1002</v>
      </c>
    </row>
    <row r="962" spans="2:2" x14ac:dyDescent="0.2">
      <c r="B962" t="s">
        <v>1003</v>
      </c>
    </row>
    <row r="963" spans="2:2" x14ac:dyDescent="0.2">
      <c r="B963" t="s">
        <v>1004</v>
      </c>
    </row>
    <row r="964" spans="2:2" x14ac:dyDescent="0.2">
      <c r="B964" t="s">
        <v>1005</v>
      </c>
    </row>
    <row r="965" spans="2:2" x14ac:dyDescent="0.2">
      <c r="B965" t="s">
        <v>1006</v>
      </c>
    </row>
    <row r="966" spans="2:2" x14ac:dyDescent="0.2">
      <c r="B966" t="s">
        <v>1007</v>
      </c>
    </row>
    <row r="967" spans="2:2" x14ac:dyDescent="0.2">
      <c r="B967" t="s">
        <v>1008</v>
      </c>
    </row>
    <row r="968" spans="2:2" x14ac:dyDescent="0.2">
      <c r="B968" t="s">
        <v>1009</v>
      </c>
    </row>
    <row r="969" spans="2:2" x14ac:dyDescent="0.2">
      <c r="B969" t="s">
        <v>1010</v>
      </c>
    </row>
    <row r="970" spans="2:2" x14ac:dyDescent="0.2">
      <c r="B970" t="s">
        <v>1011</v>
      </c>
    </row>
    <row r="971" spans="2:2" x14ac:dyDescent="0.2">
      <c r="B971" t="s">
        <v>1012</v>
      </c>
    </row>
    <row r="972" spans="2:2" x14ac:dyDescent="0.2">
      <c r="B972" t="s">
        <v>1013</v>
      </c>
    </row>
    <row r="973" spans="2:2" x14ac:dyDescent="0.2">
      <c r="B973" t="s">
        <v>1014</v>
      </c>
    </row>
    <row r="974" spans="2:2" x14ac:dyDescent="0.2">
      <c r="B974" t="s">
        <v>1015</v>
      </c>
    </row>
    <row r="975" spans="2:2" x14ac:dyDescent="0.2">
      <c r="B975" t="s">
        <v>1016</v>
      </c>
    </row>
    <row r="976" spans="2:2" x14ac:dyDescent="0.2">
      <c r="B976" t="s">
        <v>1017</v>
      </c>
    </row>
    <row r="977" spans="2:2" x14ac:dyDescent="0.2">
      <c r="B977" t="s">
        <v>1018</v>
      </c>
    </row>
    <row r="978" spans="2:2" x14ac:dyDescent="0.2">
      <c r="B978" t="s">
        <v>1019</v>
      </c>
    </row>
    <row r="979" spans="2:2" x14ac:dyDescent="0.2">
      <c r="B979" t="s">
        <v>1020</v>
      </c>
    </row>
    <row r="980" spans="2:2" x14ac:dyDescent="0.2">
      <c r="B980" t="s">
        <v>1021</v>
      </c>
    </row>
    <row r="981" spans="2:2" x14ac:dyDescent="0.2">
      <c r="B981" t="s">
        <v>1022</v>
      </c>
    </row>
    <row r="982" spans="2:2" x14ac:dyDescent="0.2">
      <c r="B982" t="s">
        <v>1023</v>
      </c>
    </row>
    <row r="983" spans="2:2" x14ac:dyDescent="0.2">
      <c r="B983" t="s">
        <v>1024</v>
      </c>
    </row>
    <row r="984" spans="2:2" x14ac:dyDescent="0.2">
      <c r="B984" t="s">
        <v>1025</v>
      </c>
    </row>
    <row r="985" spans="2:2" x14ac:dyDescent="0.2">
      <c r="B985" t="s">
        <v>1026</v>
      </c>
    </row>
    <row r="986" spans="2:2" x14ac:dyDescent="0.2">
      <c r="B986" t="s">
        <v>1027</v>
      </c>
    </row>
    <row r="987" spans="2:2" x14ac:dyDescent="0.2">
      <c r="B987" t="s">
        <v>1028</v>
      </c>
    </row>
    <row r="988" spans="2:2" x14ac:dyDescent="0.2">
      <c r="B988" t="s">
        <v>1029</v>
      </c>
    </row>
    <row r="989" spans="2:2" x14ac:dyDescent="0.2">
      <c r="B989" t="s">
        <v>1030</v>
      </c>
    </row>
    <row r="990" spans="2:2" x14ac:dyDescent="0.2">
      <c r="B990" t="s">
        <v>1031</v>
      </c>
    </row>
    <row r="991" spans="2:2" x14ac:dyDescent="0.2">
      <c r="B991" t="s">
        <v>1032</v>
      </c>
    </row>
    <row r="992" spans="2:2" x14ac:dyDescent="0.2">
      <c r="B992" t="s">
        <v>1033</v>
      </c>
    </row>
    <row r="993" spans="2:2" x14ac:dyDescent="0.2">
      <c r="B993" t="s">
        <v>1034</v>
      </c>
    </row>
    <row r="994" spans="2:2" x14ac:dyDescent="0.2">
      <c r="B994" t="s">
        <v>1035</v>
      </c>
    </row>
    <row r="995" spans="2:2" x14ac:dyDescent="0.2">
      <c r="B995" t="s">
        <v>1036</v>
      </c>
    </row>
    <row r="996" spans="2:2" x14ac:dyDescent="0.2">
      <c r="B996" t="s">
        <v>1037</v>
      </c>
    </row>
    <row r="997" spans="2:2" x14ac:dyDescent="0.2">
      <c r="B997" t="s">
        <v>1038</v>
      </c>
    </row>
    <row r="998" spans="2:2" x14ac:dyDescent="0.2">
      <c r="B998" t="s">
        <v>1039</v>
      </c>
    </row>
    <row r="999" spans="2:2" x14ac:dyDescent="0.2">
      <c r="B999" t="s">
        <v>1040</v>
      </c>
    </row>
    <row r="1000" spans="2:2" x14ac:dyDescent="0.2">
      <c r="B1000" t="s">
        <v>1041</v>
      </c>
    </row>
    <row r="1001" spans="2:2" x14ac:dyDescent="0.2">
      <c r="B1001" t="s">
        <v>1042</v>
      </c>
    </row>
    <row r="1002" spans="2:2" x14ac:dyDescent="0.2">
      <c r="B1002" t="s">
        <v>1043</v>
      </c>
    </row>
    <row r="1003" spans="2:2" x14ac:dyDescent="0.2">
      <c r="B1003" t="s">
        <v>1044</v>
      </c>
    </row>
    <row r="1004" spans="2:2" x14ac:dyDescent="0.2">
      <c r="B1004" t="s">
        <v>1045</v>
      </c>
    </row>
    <row r="1005" spans="2:2" x14ac:dyDescent="0.2">
      <c r="B1005" t="s">
        <v>1046</v>
      </c>
    </row>
    <row r="1006" spans="2:2" x14ac:dyDescent="0.2">
      <c r="B1006" t="s">
        <v>1047</v>
      </c>
    </row>
    <row r="1007" spans="2:2" x14ac:dyDescent="0.2">
      <c r="B1007" t="s">
        <v>1048</v>
      </c>
    </row>
    <row r="1008" spans="2:2" x14ac:dyDescent="0.2">
      <c r="B1008" t="s">
        <v>1049</v>
      </c>
    </row>
    <row r="1009" spans="2:2" x14ac:dyDescent="0.2">
      <c r="B1009" t="s">
        <v>1050</v>
      </c>
    </row>
    <row r="1010" spans="2:2" x14ac:dyDescent="0.2">
      <c r="B1010" t="s">
        <v>1051</v>
      </c>
    </row>
    <row r="1011" spans="2:2" x14ac:dyDescent="0.2">
      <c r="B1011" t="s">
        <v>1052</v>
      </c>
    </row>
    <row r="1012" spans="2:2" x14ac:dyDescent="0.2">
      <c r="B1012" t="s">
        <v>1053</v>
      </c>
    </row>
    <row r="1013" spans="2:2" x14ac:dyDescent="0.2">
      <c r="B1013" t="s">
        <v>1054</v>
      </c>
    </row>
    <row r="1014" spans="2:2" x14ac:dyDescent="0.2">
      <c r="B1014" t="s">
        <v>1055</v>
      </c>
    </row>
    <row r="1015" spans="2:2" x14ac:dyDescent="0.2">
      <c r="B1015" t="s">
        <v>1056</v>
      </c>
    </row>
    <row r="1016" spans="2:2" x14ac:dyDescent="0.2">
      <c r="B1016" t="s">
        <v>1057</v>
      </c>
    </row>
    <row r="1017" spans="2:2" x14ac:dyDescent="0.2">
      <c r="B1017" t="s">
        <v>1058</v>
      </c>
    </row>
    <row r="1018" spans="2:2" x14ac:dyDescent="0.2">
      <c r="B1018" t="s">
        <v>1059</v>
      </c>
    </row>
    <row r="1019" spans="2:2" x14ac:dyDescent="0.2">
      <c r="B1019" t="s">
        <v>1060</v>
      </c>
    </row>
    <row r="1020" spans="2:2" x14ac:dyDescent="0.2">
      <c r="B1020" t="s">
        <v>1061</v>
      </c>
    </row>
    <row r="1021" spans="2:2" x14ac:dyDescent="0.2">
      <c r="B1021" t="s">
        <v>1062</v>
      </c>
    </row>
    <row r="1022" spans="2:2" x14ac:dyDescent="0.2">
      <c r="B1022" t="s">
        <v>1063</v>
      </c>
    </row>
    <row r="1023" spans="2:2" x14ac:dyDescent="0.2">
      <c r="B1023" t="s">
        <v>1064</v>
      </c>
    </row>
    <row r="1024" spans="2:2" x14ac:dyDescent="0.2">
      <c r="B1024" t="s">
        <v>1065</v>
      </c>
    </row>
    <row r="1025" spans="2:2" x14ac:dyDescent="0.2">
      <c r="B1025" t="s">
        <v>1066</v>
      </c>
    </row>
    <row r="1026" spans="2:2" x14ac:dyDescent="0.2">
      <c r="B1026" t="s">
        <v>1067</v>
      </c>
    </row>
    <row r="1027" spans="2:2" x14ac:dyDescent="0.2">
      <c r="B1027" t="s">
        <v>1068</v>
      </c>
    </row>
    <row r="1028" spans="2:2" x14ac:dyDescent="0.2">
      <c r="B1028" t="s">
        <v>1069</v>
      </c>
    </row>
    <row r="1029" spans="2:2" x14ac:dyDescent="0.2">
      <c r="B1029" t="s">
        <v>1070</v>
      </c>
    </row>
    <row r="1030" spans="2:2" x14ac:dyDescent="0.2">
      <c r="B1030" t="s">
        <v>1071</v>
      </c>
    </row>
    <row r="1031" spans="2:2" x14ac:dyDescent="0.2">
      <c r="B1031" t="s">
        <v>1072</v>
      </c>
    </row>
    <row r="1032" spans="2:2" x14ac:dyDescent="0.2">
      <c r="B1032" t="s">
        <v>1073</v>
      </c>
    </row>
    <row r="1033" spans="2:2" x14ac:dyDescent="0.2">
      <c r="B1033" t="s">
        <v>1074</v>
      </c>
    </row>
    <row r="1034" spans="2:2" x14ac:dyDescent="0.2">
      <c r="B1034" t="s">
        <v>1075</v>
      </c>
    </row>
    <row r="1035" spans="2:2" x14ac:dyDescent="0.2">
      <c r="B1035" t="s">
        <v>1076</v>
      </c>
    </row>
    <row r="1036" spans="2:2" x14ac:dyDescent="0.2">
      <c r="B1036" t="s">
        <v>1077</v>
      </c>
    </row>
    <row r="1037" spans="2:2" x14ac:dyDescent="0.2">
      <c r="B1037" t="s">
        <v>1078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E4858-0510-4E3C-9B6C-B01D400AB2D0}">
  <dimension ref="A1:AD502"/>
  <sheetViews>
    <sheetView topLeftCell="A2" workbookViewId="0">
      <selection activeCell="Z2" sqref="Z2"/>
    </sheetView>
  </sheetViews>
  <sheetFormatPr baseColWidth="10" defaultColWidth="8.83203125" defaultRowHeight="15" x14ac:dyDescent="0.2"/>
  <cols>
    <col min="1" max="1" width="10.5" customWidth="1"/>
    <col min="2" max="2" width="12.5" bestFit="1" customWidth="1"/>
    <col min="3" max="3" width="12.33203125" bestFit="1" customWidth="1"/>
    <col min="4" max="4" width="7.6640625" customWidth="1"/>
    <col min="5" max="5" width="3.83203125" customWidth="1"/>
    <col min="6" max="6" width="14" bestFit="1" customWidth="1"/>
    <col min="15" max="20" width="11.5" customWidth="1"/>
  </cols>
  <sheetData>
    <row r="1" spans="1:30" x14ac:dyDescent="0.2">
      <c r="G1" t="s">
        <v>36</v>
      </c>
      <c r="O1" t="s">
        <v>37</v>
      </c>
    </row>
    <row r="2" spans="1:30" x14ac:dyDescent="0.2">
      <c r="F2" t="s">
        <v>11</v>
      </c>
      <c r="G2" s="1">
        <v>1</v>
      </c>
      <c r="H2" s="1">
        <v>2</v>
      </c>
      <c r="I2" s="1">
        <v>3</v>
      </c>
      <c r="J2" s="1">
        <v>4</v>
      </c>
      <c r="K2" s="1">
        <v>5</v>
      </c>
      <c r="L2" s="1">
        <v>6</v>
      </c>
      <c r="O2" s="1" t="s">
        <v>24</v>
      </c>
      <c r="P2" s="1" t="s">
        <v>25</v>
      </c>
      <c r="Q2" s="1" t="s">
        <v>26</v>
      </c>
      <c r="R2" s="1" t="s">
        <v>27</v>
      </c>
      <c r="S2" s="1" t="s">
        <v>28</v>
      </c>
      <c r="T2" s="1" t="s">
        <v>29</v>
      </c>
    </row>
    <row r="3" spans="1:30" x14ac:dyDescent="0.2">
      <c r="A3" s="2" t="s">
        <v>19</v>
      </c>
      <c r="B3" s="2" t="s">
        <v>4</v>
      </c>
      <c r="C3" s="2" t="s">
        <v>30</v>
      </c>
      <c r="F3">
        <v>1</v>
      </c>
      <c r="G3" s="3">
        <f t="shared" ref="G3:G66" ca="1" si="0">IF(OR($F3&gt;N,G$2&gt;N_LISTS),"",QUOTIENT($F3-(QUOTIENT($F3,N)*N),N_1)
+IF(MOD($F3-(QUOTIENT($F3,N)*N),N_1)=0,0,1)
+IF(MOD($F3,N)=0,C_L1,0))</f>
        <v>1</v>
      </c>
      <c r="H3" s="3">
        <f t="shared" ref="H3:H66" ca="1" si="1">IF(OR($F3&gt;N,H$2&gt;N_LISTS),"",QUOTIENT($F3-(QUOTIENT($F3,N_1)*N_1),N_2)
+IF(MOD($F3-(QUOTIENT($F3,N_1)*N_1),N_2)=0,0,1)
+IF(MOD($F3,N_1)=0,C_L2,0))</f>
        <v>1</v>
      </c>
      <c r="I3" t="str">
        <f t="shared" ref="I3:I66" ca="1" si="2">IF(OR($F3&gt;N,I$2&gt;N_LISTS),"",QUOTIENT($F3-(QUOTIENT($F3,N_2)*N_2),N_3)
+IF(MOD($F3-(QUOTIENT($F3,N_2)*N_2),N_3)=0,0,1)
+IF(MOD($F3,N_2)=0,C_L3,0))</f>
        <v/>
      </c>
      <c r="J3" t="str">
        <f t="shared" ref="J3:J66" ca="1" si="3">IF(OR($F3&gt;N,J$2&gt;N_LISTS),"",QUOTIENT($F3-(QUOTIENT($F3,N_3)*N_3),N_4)
+IF(MOD($F3-(QUOTIENT($F3,N_3)*N_3),N_4)=0,0,1)
+IF(MOD($F3,N_3)=0,C_L4,0))</f>
        <v/>
      </c>
      <c r="K3" t="str">
        <f t="shared" ref="K3:K66" ca="1" si="4">IF(OR($F3&gt;N,K$2&gt;N_LISTS),"",QUOTIENT($F3-(QUOTIENT($F3,N_4)*N_4),N_5)
+IF(MOD($F3-(QUOTIENT($F3,N_4)*N_4),N_5)=0,0,1)
+IF(MOD($F3,N_4)=0,C_L5,0))</f>
        <v/>
      </c>
      <c r="L3" t="str">
        <f t="shared" ref="L3:L66" ca="1" si="5">IF(OR($F3&gt;N,L$2&gt;N_LISTS),"",QUOTIENT($F3-(QUOTIENT($F3,N_5)*N_5),1)
+IF(MOD($F3-(QUOTIENT($F3,N_5)*N_5),1)=0,0,1)
+IF(MOD($F3,N_5)=0,C_L6,0))</f>
        <v/>
      </c>
      <c r="O3" t="str">
        <f ca="1">INDEX(T_L1[],G3)</f>
        <v>Peanut Butter,</v>
      </c>
      <c r="P3" t="str">
        <f ca="1">INDEX(T_L2[],H3)</f>
        <v>Peanut Butter</v>
      </c>
      <c r="Q3" t="e">
        <f ca="1">INDEX(T_L3[],I3)</f>
        <v>#VALUE!</v>
      </c>
      <c r="R3" t="e">
        <f ca="1">INDEX(T_L4[],J3)</f>
        <v>#VALUE!</v>
      </c>
      <c r="S3" t="e">
        <f ca="1">INDEX(T_L5[],K3)</f>
        <v>#VALUE!</v>
      </c>
      <c r="T3" t="e">
        <f ca="1">INDEX(T_L6[],L3)</f>
        <v>#VALUE!</v>
      </c>
      <c r="X3" s="1" t="s">
        <v>17</v>
      </c>
    </row>
    <row r="4" spans="1:30" x14ac:dyDescent="0.2">
      <c r="A4" s="2">
        <v>1</v>
      </c>
      <c r="B4" s="2">
        <f>COUNTA(T_L1[LIST 1])</f>
        <v>14</v>
      </c>
      <c r="C4" s="19">
        <f t="shared" ref="C4:C9" ca="1" si="6">IFERROR(IF(N_LISTS=0,0,IF(A4=N_LISTS+1,1,PRODUCT(OFFSET(B4,0,0,N_LISTS-A4+1)))),"")</f>
        <v>210</v>
      </c>
      <c r="D4" t="s">
        <v>3</v>
      </c>
      <c r="F4">
        <v>2</v>
      </c>
      <c r="G4" s="3">
        <f t="shared" ca="1" si="0"/>
        <v>1</v>
      </c>
      <c r="H4" s="3">
        <f t="shared" ca="1" si="1"/>
        <v>2</v>
      </c>
      <c r="I4" t="str">
        <f t="shared" ca="1" si="2"/>
        <v/>
      </c>
      <c r="J4" t="str">
        <f t="shared" ca="1" si="3"/>
        <v/>
      </c>
      <c r="K4" t="str">
        <f t="shared" ca="1" si="4"/>
        <v/>
      </c>
      <c r="L4" t="str">
        <f t="shared" ca="1" si="5"/>
        <v/>
      </c>
      <c r="O4" t="str">
        <f ca="1">INDEX(T_L1[],G4)</f>
        <v>Peanut Butter,</v>
      </c>
      <c r="P4" t="str">
        <f ca="1">INDEX(T_L2[],H4)</f>
        <v>Almond Butter</v>
      </c>
      <c r="Q4" t="e">
        <f ca="1">INDEX(T_L3[],I4)</f>
        <v>#VALUE!</v>
      </c>
      <c r="R4" t="e">
        <f ca="1">INDEX(T_L4[],J4)</f>
        <v>#VALUE!</v>
      </c>
      <c r="S4" t="e">
        <f ca="1">INDEX(T_L5[],K4)</f>
        <v>#VALUE!</v>
      </c>
      <c r="T4" t="e">
        <f ca="1">INDEX(T_L6[],L4)</f>
        <v>#VALUE!</v>
      </c>
      <c r="X4">
        <v>1</v>
      </c>
      <c r="Y4">
        <f ca="1">COUNTIF(HELP!$G$3:$G$502,X4)</f>
        <v>15</v>
      </c>
      <c r="Z4">
        <f ca="1">COUNTIF(HELP!$H$3:$H$502,X4)</f>
        <v>14</v>
      </c>
      <c r="AA4">
        <f ca="1">COUNTIF(HELP!$I$3:$I$502,X4)</f>
        <v>0</v>
      </c>
      <c r="AB4">
        <f ca="1">COUNTIF(HELP!$J$3:$J$502,X4)</f>
        <v>0</v>
      </c>
      <c r="AC4">
        <f ca="1">COUNTIF(HELP!$K$3:$K$502,X4)</f>
        <v>0</v>
      </c>
      <c r="AD4">
        <f ca="1">COUNTIF(HELP!$L$3:$L$502,X4)</f>
        <v>0</v>
      </c>
    </row>
    <row r="5" spans="1:30" x14ac:dyDescent="0.2">
      <c r="A5" s="2">
        <v>2</v>
      </c>
      <c r="B5" s="2">
        <f>COUNTA(T_L2[LIST 2])</f>
        <v>15</v>
      </c>
      <c r="C5" s="2">
        <f t="shared" ca="1" si="6"/>
        <v>15</v>
      </c>
      <c r="D5" t="s">
        <v>12</v>
      </c>
      <c r="F5">
        <v>3</v>
      </c>
      <c r="G5" s="3">
        <f t="shared" ca="1" si="0"/>
        <v>1</v>
      </c>
      <c r="H5" s="3">
        <f t="shared" ca="1" si="1"/>
        <v>3</v>
      </c>
      <c r="I5" t="str">
        <f t="shared" ca="1" si="2"/>
        <v/>
      </c>
      <c r="J5" t="str">
        <f t="shared" ca="1" si="3"/>
        <v/>
      </c>
      <c r="K5" t="str">
        <f t="shared" ca="1" si="4"/>
        <v/>
      </c>
      <c r="L5" t="str">
        <f t="shared" ca="1" si="5"/>
        <v/>
      </c>
      <c r="O5" t="str">
        <f ca="1">INDEX(T_L1[],G5)</f>
        <v>Peanut Butter,</v>
      </c>
      <c r="P5" t="str">
        <f ca="1">INDEX(T_L2[],H5)</f>
        <v>Cashew Butter</v>
      </c>
      <c r="Q5" t="e">
        <f ca="1">INDEX(T_L3[],I5)</f>
        <v>#VALUE!</v>
      </c>
      <c r="R5" t="e">
        <f ca="1">INDEX(T_L4[],J5)</f>
        <v>#VALUE!</v>
      </c>
      <c r="S5" t="e">
        <f ca="1">INDEX(T_L5[],K5)</f>
        <v>#VALUE!</v>
      </c>
      <c r="T5" t="e">
        <f ca="1">INDEX(T_L6[],L5)</f>
        <v>#VALUE!</v>
      </c>
      <c r="X5">
        <v>2</v>
      </c>
      <c r="Y5">
        <f ca="1">COUNTIF(HELP!$G$3:$G$502,X5)</f>
        <v>15</v>
      </c>
      <c r="Z5">
        <f ca="1">COUNTIF(HELP!$H$3:$H$502,X5)</f>
        <v>14</v>
      </c>
      <c r="AA5">
        <f ca="1">COUNTIF(HELP!$I$3:$I$502,X5)</f>
        <v>0</v>
      </c>
      <c r="AB5">
        <f ca="1">COUNTIF(HELP!$J$3:$J$502,X5)</f>
        <v>0</v>
      </c>
      <c r="AC5">
        <f ca="1">COUNTIF(HELP!$K$3:$K$502,X5)</f>
        <v>0</v>
      </c>
      <c r="AD5">
        <f ca="1">COUNTIF(HELP!$L$3:$L$502,X5)</f>
        <v>0</v>
      </c>
    </row>
    <row r="6" spans="1:30" x14ac:dyDescent="0.2">
      <c r="A6" s="2">
        <v>3</v>
      </c>
      <c r="B6" s="2">
        <f>COUNTA(T_L3[LIST 3])</f>
        <v>0</v>
      </c>
      <c r="C6" s="2">
        <f t="shared" ca="1" si="6"/>
        <v>1</v>
      </c>
      <c r="D6" t="s">
        <v>14</v>
      </c>
      <c r="F6">
        <v>4</v>
      </c>
      <c r="G6" s="3">
        <f t="shared" ca="1" si="0"/>
        <v>1</v>
      </c>
      <c r="H6" s="3">
        <f t="shared" ca="1" si="1"/>
        <v>4</v>
      </c>
      <c r="I6" t="str">
        <f t="shared" ca="1" si="2"/>
        <v/>
      </c>
      <c r="J6" t="str">
        <f t="shared" ca="1" si="3"/>
        <v/>
      </c>
      <c r="K6" t="str">
        <f t="shared" ca="1" si="4"/>
        <v/>
      </c>
      <c r="L6" t="str">
        <f t="shared" ca="1" si="5"/>
        <v/>
      </c>
      <c r="O6" t="str">
        <f ca="1">INDEX(T_L1[],G6)</f>
        <v>Peanut Butter,</v>
      </c>
      <c r="P6" t="str">
        <f ca="1">INDEX(T_L2[],H6)</f>
        <v>Chia Seeds</v>
      </c>
      <c r="Q6" t="e">
        <f ca="1">INDEX(T_L3[],I6)</f>
        <v>#VALUE!</v>
      </c>
      <c r="R6" t="e">
        <f ca="1">INDEX(T_L4[],J6)</f>
        <v>#VALUE!</v>
      </c>
      <c r="S6" t="e">
        <f ca="1">INDEX(T_L5[],K6)</f>
        <v>#VALUE!</v>
      </c>
      <c r="T6" t="e">
        <f ca="1">INDEX(T_L6[],L6)</f>
        <v>#VALUE!</v>
      </c>
      <c r="X6">
        <v>3</v>
      </c>
      <c r="Y6">
        <f ca="1">COUNTIF(HELP!$G$3:$G$502,X6)</f>
        <v>15</v>
      </c>
      <c r="Z6">
        <f ca="1">COUNTIF(HELP!$H$3:$H$502,X6)</f>
        <v>14</v>
      </c>
      <c r="AA6">
        <f ca="1">COUNTIF(HELP!$I$3:$I$502,X6)</f>
        <v>0</v>
      </c>
      <c r="AB6">
        <f ca="1">COUNTIF(HELP!$J$3:$J$502,X6)</f>
        <v>0</v>
      </c>
      <c r="AC6">
        <f ca="1">COUNTIF(HELP!$K$3:$K$502,X6)</f>
        <v>0</v>
      </c>
      <c r="AD6">
        <f ca="1">COUNTIF(HELP!$L$3:$L$502,X6)</f>
        <v>0</v>
      </c>
    </row>
    <row r="7" spans="1:30" x14ac:dyDescent="0.2">
      <c r="A7" s="2">
        <v>4</v>
      </c>
      <c r="B7" s="2">
        <f>COUNTA(T_L4[LIST 4])</f>
        <v>0</v>
      </c>
      <c r="C7" s="2">
        <f t="shared" ca="1" si="6"/>
        <v>0</v>
      </c>
      <c r="D7" t="s">
        <v>15</v>
      </c>
      <c r="F7">
        <v>5</v>
      </c>
      <c r="G7" s="3">
        <f t="shared" ca="1" si="0"/>
        <v>1</v>
      </c>
      <c r="H7" s="3">
        <f t="shared" ca="1" si="1"/>
        <v>5</v>
      </c>
      <c r="I7" t="str">
        <f t="shared" ca="1" si="2"/>
        <v/>
      </c>
      <c r="J7" t="str">
        <f t="shared" ca="1" si="3"/>
        <v/>
      </c>
      <c r="K7" t="str">
        <f t="shared" ca="1" si="4"/>
        <v/>
      </c>
      <c r="L7" t="str">
        <f t="shared" ca="1" si="5"/>
        <v/>
      </c>
      <c r="O7" t="str">
        <f ca="1">INDEX(T_L1[],G7)</f>
        <v>Peanut Butter,</v>
      </c>
      <c r="P7" t="str">
        <f ca="1">INDEX(T_L2[],H7)</f>
        <v>Flax Seeds</v>
      </c>
      <c r="Q7" t="e">
        <f ca="1">INDEX(T_L3[],I7)</f>
        <v>#VALUE!</v>
      </c>
      <c r="R7" t="e">
        <f ca="1">INDEX(T_L4[],J7)</f>
        <v>#VALUE!</v>
      </c>
      <c r="S7" t="e">
        <f ca="1">INDEX(T_L5[],K7)</f>
        <v>#VALUE!</v>
      </c>
      <c r="T7" t="e">
        <f ca="1">INDEX(T_L6[],L7)</f>
        <v>#VALUE!</v>
      </c>
      <c r="X7">
        <v>4</v>
      </c>
      <c r="Y7">
        <f ca="1">COUNTIF(HELP!$G$3:$G$502,X7)</f>
        <v>15</v>
      </c>
      <c r="Z7">
        <f ca="1">COUNTIF(HELP!$H$3:$H$502,X7)</f>
        <v>14</v>
      </c>
      <c r="AA7">
        <f ca="1">COUNTIF(HELP!$I$3:$I$502,X7)</f>
        <v>0</v>
      </c>
      <c r="AB7">
        <f ca="1">COUNTIF(HELP!$J$3:$J$502,X7)</f>
        <v>0</v>
      </c>
      <c r="AC7">
        <f ca="1">COUNTIF(HELP!$K$3:$K$502,X7)</f>
        <v>0</v>
      </c>
      <c r="AD7">
        <f ca="1">COUNTIF(HELP!$L$3:$L$502,X7)</f>
        <v>0</v>
      </c>
    </row>
    <row r="8" spans="1:30" x14ac:dyDescent="0.2">
      <c r="A8" s="2">
        <v>5</v>
      </c>
      <c r="B8" s="2">
        <f>COUNTA(T_L5[LIST 5])</f>
        <v>0</v>
      </c>
      <c r="C8" s="2">
        <f t="shared" ca="1" si="6"/>
        <v>0</v>
      </c>
      <c r="D8" t="s">
        <v>16</v>
      </c>
      <c r="F8">
        <v>6</v>
      </c>
      <c r="G8" s="3">
        <f t="shared" ca="1" si="0"/>
        <v>1</v>
      </c>
      <c r="H8" s="3">
        <f t="shared" ca="1" si="1"/>
        <v>6</v>
      </c>
      <c r="I8" t="str">
        <f t="shared" ca="1" si="2"/>
        <v/>
      </c>
      <c r="J8" t="str">
        <f t="shared" ca="1" si="3"/>
        <v/>
      </c>
      <c r="K8" t="str">
        <f t="shared" ca="1" si="4"/>
        <v/>
      </c>
      <c r="L8" t="str">
        <f t="shared" ca="1" si="5"/>
        <v/>
      </c>
      <c r="O8" t="str">
        <f ca="1">INDEX(T_L1[],G8)</f>
        <v>Peanut Butter,</v>
      </c>
      <c r="P8" t="str">
        <f ca="1">INDEX(T_L2[],H8)</f>
        <v>Hemp Seeds</v>
      </c>
      <c r="Q8" t="e">
        <f ca="1">INDEX(T_L3[],I8)</f>
        <v>#VALUE!</v>
      </c>
      <c r="R8" t="e">
        <f ca="1">INDEX(T_L4[],J8)</f>
        <v>#VALUE!</v>
      </c>
      <c r="S8" t="e">
        <f ca="1">INDEX(T_L5[],K8)</f>
        <v>#VALUE!</v>
      </c>
      <c r="T8" t="e">
        <f ca="1">INDEX(T_L6[],L8)</f>
        <v>#VALUE!</v>
      </c>
      <c r="X8">
        <v>5</v>
      </c>
      <c r="Y8">
        <f ca="1">COUNTIF(HELP!$G$3:$G$502,X8)</f>
        <v>15</v>
      </c>
      <c r="Z8">
        <f ca="1">COUNTIF(HELP!$H$3:$H$502,X8)</f>
        <v>14</v>
      </c>
      <c r="AA8">
        <f ca="1">COUNTIF(HELP!$I$3:$I$502,X8)</f>
        <v>0</v>
      </c>
      <c r="AB8">
        <f ca="1">COUNTIF(HELP!$J$3:$J$502,X8)</f>
        <v>0</v>
      </c>
      <c r="AC8">
        <f ca="1">COUNTIF(HELP!$K$3:$K$502,X8)</f>
        <v>0</v>
      </c>
      <c r="AD8">
        <f ca="1">COUNTIF(HELP!$L$3:$L$502,X8)</f>
        <v>0</v>
      </c>
    </row>
    <row r="9" spans="1:30" x14ac:dyDescent="0.2">
      <c r="A9" s="2">
        <v>6</v>
      </c>
      <c r="B9" s="2">
        <f>COUNTA(T_L6[LIST 6])</f>
        <v>0</v>
      </c>
      <c r="C9" s="2">
        <f t="shared" ca="1" si="6"/>
        <v>0</v>
      </c>
      <c r="D9" t="s">
        <v>13</v>
      </c>
      <c r="F9">
        <v>7</v>
      </c>
      <c r="G9" s="3">
        <f t="shared" ca="1" si="0"/>
        <v>1</v>
      </c>
      <c r="H9" s="3">
        <f t="shared" ca="1" si="1"/>
        <v>7</v>
      </c>
      <c r="I9" t="str">
        <f t="shared" ca="1" si="2"/>
        <v/>
      </c>
      <c r="J9" t="str">
        <f t="shared" ca="1" si="3"/>
        <v/>
      </c>
      <c r="K9" t="str">
        <f t="shared" ca="1" si="4"/>
        <v/>
      </c>
      <c r="L9" t="str">
        <f t="shared" ca="1" si="5"/>
        <v/>
      </c>
      <c r="O9" t="str">
        <f ca="1">INDEX(T_L1[],G9)</f>
        <v>Peanut Butter,</v>
      </c>
      <c r="P9" t="str">
        <f ca="1">INDEX(T_L2[],H9)</f>
        <v>Avocado</v>
      </c>
      <c r="Q9" t="e">
        <f ca="1">INDEX(T_L3[],I9)</f>
        <v>#VALUE!</v>
      </c>
      <c r="R9" t="e">
        <f ca="1">INDEX(T_L4[],J9)</f>
        <v>#VALUE!</v>
      </c>
      <c r="S9" t="e">
        <f ca="1">INDEX(T_L5[],K9)</f>
        <v>#VALUE!</v>
      </c>
      <c r="T9" t="e">
        <f ca="1">INDEX(T_L6[],L9)</f>
        <v>#VALUE!</v>
      </c>
      <c r="X9">
        <v>6</v>
      </c>
      <c r="Y9">
        <f ca="1">COUNTIF(HELP!$G$3:$G$502,X9)</f>
        <v>15</v>
      </c>
      <c r="Z9">
        <f ca="1">COUNTIF(HELP!$H$3:$H$502,X9)</f>
        <v>14</v>
      </c>
      <c r="AA9">
        <f ca="1">COUNTIF(HELP!$I$3:$I$502,X9)</f>
        <v>0</v>
      </c>
      <c r="AB9">
        <f ca="1">COUNTIF(HELP!$J$3:$J$502,X9)</f>
        <v>0</v>
      </c>
      <c r="AC9">
        <f ca="1">COUNTIF(HELP!$K$3:$K$502,X9)</f>
        <v>0</v>
      </c>
      <c r="AD9">
        <f ca="1">COUNTIF(HELP!$L$3:$L$502,X9)</f>
        <v>0</v>
      </c>
    </row>
    <row r="10" spans="1:30" x14ac:dyDescent="0.2">
      <c r="F10">
        <v>8</v>
      </c>
      <c r="G10" s="3">
        <f t="shared" ca="1" si="0"/>
        <v>1</v>
      </c>
      <c r="H10" s="3">
        <f t="shared" ca="1" si="1"/>
        <v>8</v>
      </c>
      <c r="I10" t="str">
        <f t="shared" ca="1" si="2"/>
        <v/>
      </c>
      <c r="J10" t="str">
        <f t="shared" ca="1" si="3"/>
        <v/>
      </c>
      <c r="K10" t="str">
        <f t="shared" ca="1" si="4"/>
        <v/>
      </c>
      <c r="L10" t="str">
        <f t="shared" ca="1" si="5"/>
        <v/>
      </c>
      <c r="O10" t="str">
        <f ca="1">INDEX(T_L1[],G10)</f>
        <v>Peanut Butter,</v>
      </c>
      <c r="P10" t="str">
        <f ca="1">INDEX(T_L2[],H10)</f>
        <v>Coconut Oil</v>
      </c>
      <c r="Q10" t="e">
        <f ca="1">INDEX(T_L3[],I10)</f>
        <v>#VALUE!</v>
      </c>
      <c r="R10" t="e">
        <f ca="1">INDEX(T_L4[],J10)</f>
        <v>#VALUE!</v>
      </c>
      <c r="S10" t="e">
        <f ca="1">INDEX(T_L5[],K10)</f>
        <v>#VALUE!</v>
      </c>
      <c r="T10" t="e">
        <f ca="1">INDEX(T_L6[],L10)</f>
        <v>#VALUE!</v>
      </c>
      <c r="X10">
        <v>7</v>
      </c>
      <c r="Y10">
        <f ca="1">COUNTIF(HELP!$G$3:$G$502,X10)</f>
        <v>15</v>
      </c>
      <c r="Z10">
        <f ca="1">COUNTIF(HELP!$H$3:$H$502,X10)</f>
        <v>14</v>
      </c>
      <c r="AA10">
        <f ca="1">COUNTIF(HELP!$I$3:$I$502,X10)</f>
        <v>0</v>
      </c>
      <c r="AB10">
        <f ca="1">COUNTIF(HELP!$J$3:$J$502,X10)</f>
        <v>0</v>
      </c>
      <c r="AC10">
        <f ca="1">COUNTIF(HELP!$K$3:$K$502,X10)</f>
        <v>0</v>
      </c>
      <c r="AD10">
        <f ca="1">COUNTIF(HELP!$L$3:$L$502,X10)</f>
        <v>0</v>
      </c>
    </row>
    <row r="11" spans="1:30" x14ac:dyDescent="0.2">
      <c r="A11" t="s">
        <v>32</v>
      </c>
      <c r="B11">
        <f>IFERROR(MATCH(0,B4:B9,0)-1,6)</f>
        <v>2</v>
      </c>
      <c r="F11">
        <v>9</v>
      </c>
      <c r="G11" s="3">
        <f t="shared" ca="1" si="0"/>
        <v>1</v>
      </c>
      <c r="H11" s="3">
        <f t="shared" ca="1" si="1"/>
        <v>9</v>
      </c>
      <c r="I11" t="str">
        <f t="shared" ca="1" si="2"/>
        <v/>
      </c>
      <c r="J11" t="str">
        <f t="shared" ca="1" si="3"/>
        <v/>
      </c>
      <c r="K11" t="str">
        <f t="shared" ca="1" si="4"/>
        <v/>
      </c>
      <c r="L11" t="str">
        <f t="shared" ca="1" si="5"/>
        <v/>
      </c>
      <c r="O11" t="str">
        <f ca="1">INDEX(T_L1[],G11)</f>
        <v>Peanut Butter,</v>
      </c>
      <c r="P11" t="str">
        <f ca="1">INDEX(T_L2[],H11)</f>
        <v>MCT Oil</v>
      </c>
      <c r="Q11" t="e">
        <f ca="1">INDEX(T_L3[],I11)</f>
        <v>#VALUE!</v>
      </c>
      <c r="R11" t="e">
        <f ca="1">INDEX(T_L4[],J11)</f>
        <v>#VALUE!</v>
      </c>
      <c r="S11" t="e">
        <f ca="1">INDEX(T_L5[],K11)</f>
        <v>#VALUE!</v>
      </c>
      <c r="T11" t="e">
        <f ca="1">INDEX(T_L6[],L11)</f>
        <v>#VALUE!</v>
      </c>
      <c r="X11">
        <v>8</v>
      </c>
      <c r="Y11">
        <f ca="1">COUNTIF(HELP!$G$3:$G$502,X11)</f>
        <v>15</v>
      </c>
      <c r="Z11">
        <f ca="1">COUNTIF(HELP!$H$3:$H$502,X11)</f>
        <v>14</v>
      </c>
      <c r="AA11">
        <f ca="1">COUNTIF(HELP!$I$3:$I$502,X11)</f>
        <v>0</v>
      </c>
      <c r="AB11">
        <f ca="1">COUNTIF(HELP!$J$3:$J$502,X11)</f>
        <v>0</v>
      </c>
      <c r="AC11">
        <f ca="1">COUNTIF(HELP!$K$3:$K$502,X11)</f>
        <v>0</v>
      </c>
      <c r="AD11">
        <f ca="1">COUNTIF(HELP!$L$3:$L$502,X11)</f>
        <v>0</v>
      </c>
    </row>
    <row r="12" spans="1:30" x14ac:dyDescent="0.2">
      <c r="F12">
        <v>10</v>
      </c>
      <c r="G12" s="3">
        <f t="shared" ca="1" si="0"/>
        <v>1</v>
      </c>
      <c r="H12" s="3">
        <f t="shared" ca="1" si="1"/>
        <v>10</v>
      </c>
      <c r="I12" t="str">
        <f t="shared" ca="1" si="2"/>
        <v/>
      </c>
      <c r="J12" t="str">
        <f t="shared" ca="1" si="3"/>
        <v/>
      </c>
      <c r="K12" t="str">
        <f t="shared" ca="1" si="4"/>
        <v/>
      </c>
      <c r="L12" t="str">
        <f t="shared" ca="1" si="5"/>
        <v/>
      </c>
      <c r="O12" t="str">
        <f ca="1">INDEX(T_L1[],G12)</f>
        <v>Peanut Butter,</v>
      </c>
      <c r="P12" t="str">
        <f ca="1">INDEX(T_L2[],H12)</f>
        <v>Walnuts</v>
      </c>
      <c r="Q12" t="e">
        <f ca="1">INDEX(T_L3[],I12)</f>
        <v>#VALUE!</v>
      </c>
      <c r="R12" t="e">
        <f ca="1">INDEX(T_L4[],J12)</f>
        <v>#VALUE!</v>
      </c>
      <c r="S12" t="e">
        <f ca="1">INDEX(T_L5[],K12)</f>
        <v>#VALUE!</v>
      </c>
      <c r="T12" t="e">
        <f ca="1">INDEX(T_L6[],L12)</f>
        <v>#VALUE!</v>
      </c>
      <c r="X12">
        <v>9</v>
      </c>
      <c r="Y12">
        <f ca="1">COUNTIF(HELP!$G$3:$G$502,X12)</f>
        <v>15</v>
      </c>
      <c r="Z12">
        <f ca="1">COUNTIF(HELP!$H$3:$H$502,X12)</f>
        <v>14</v>
      </c>
      <c r="AA12">
        <f ca="1">COUNTIF(HELP!$I$3:$I$502,X12)</f>
        <v>0</v>
      </c>
      <c r="AB12">
        <f ca="1">COUNTIF(HELP!$J$3:$J$502,X12)</f>
        <v>0</v>
      </c>
      <c r="AC12">
        <f ca="1">COUNTIF(HELP!$K$3:$K$502,X12)</f>
        <v>0</v>
      </c>
      <c r="AD12">
        <f ca="1">COUNTIF(HELP!$L$3:$L$502,X12)</f>
        <v>0</v>
      </c>
    </row>
    <row r="13" spans="1:30" x14ac:dyDescent="0.2">
      <c r="F13">
        <v>11</v>
      </c>
      <c r="G13" s="3">
        <f t="shared" ca="1" si="0"/>
        <v>1</v>
      </c>
      <c r="H13" s="3">
        <f t="shared" ca="1" si="1"/>
        <v>11</v>
      </c>
      <c r="I13" t="str">
        <f t="shared" ca="1" si="2"/>
        <v/>
      </c>
      <c r="J13" t="str">
        <f t="shared" ca="1" si="3"/>
        <v/>
      </c>
      <c r="K13" t="str">
        <f t="shared" ca="1" si="4"/>
        <v/>
      </c>
      <c r="L13" t="str">
        <f t="shared" ca="1" si="5"/>
        <v/>
      </c>
      <c r="O13" t="str">
        <f ca="1">INDEX(T_L1[],G13)</f>
        <v>Peanut Butter,</v>
      </c>
      <c r="P13" t="str">
        <f ca="1">INDEX(T_L2[],H13)</f>
        <v>Pecans</v>
      </c>
      <c r="Q13" t="e">
        <f ca="1">INDEX(T_L3[],I13)</f>
        <v>#VALUE!</v>
      </c>
      <c r="R13" t="e">
        <f ca="1">INDEX(T_L4[],J13)</f>
        <v>#VALUE!</v>
      </c>
      <c r="S13" t="e">
        <f ca="1">INDEX(T_L5[],K13)</f>
        <v>#VALUE!</v>
      </c>
      <c r="T13" t="e">
        <f ca="1">INDEX(T_L6[],L13)</f>
        <v>#VALUE!</v>
      </c>
      <c r="X13">
        <v>10</v>
      </c>
      <c r="Y13">
        <f ca="1">COUNTIF(HELP!$G$3:$G$502,X13)</f>
        <v>15</v>
      </c>
      <c r="Z13">
        <f ca="1">COUNTIF(HELP!$H$3:$H$502,X13)</f>
        <v>14</v>
      </c>
      <c r="AA13">
        <f ca="1">COUNTIF(HELP!$I$3:$I$502,X13)</f>
        <v>0</v>
      </c>
      <c r="AB13">
        <f ca="1">COUNTIF(HELP!$J$3:$J$502,X13)</f>
        <v>0</v>
      </c>
      <c r="AC13">
        <f ca="1">COUNTIF(HELP!$K$3:$K$502,X13)</f>
        <v>0</v>
      </c>
      <c r="AD13">
        <f ca="1">COUNTIF(HELP!$L$3:$L$502,X13)</f>
        <v>0</v>
      </c>
    </row>
    <row r="14" spans="1:30" x14ac:dyDescent="0.2">
      <c r="F14">
        <v>12</v>
      </c>
      <c r="G14" s="3">
        <f t="shared" ca="1" si="0"/>
        <v>1</v>
      </c>
      <c r="H14" s="3">
        <f t="shared" ca="1" si="1"/>
        <v>12</v>
      </c>
      <c r="I14" t="str">
        <f t="shared" ca="1" si="2"/>
        <v/>
      </c>
      <c r="J14" t="str">
        <f t="shared" ca="1" si="3"/>
        <v/>
      </c>
      <c r="K14" t="str">
        <f t="shared" ca="1" si="4"/>
        <v/>
      </c>
      <c r="L14" t="str">
        <f t="shared" ca="1" si="5"/>
        <v/>
      </c>
      <c r="O14" t="str">
        <f ca="1">INDEX(T_L1[],G14)</f>
        <v>Peanut Butter,</v>
      </c>
      <c r="P14" t="str">
        <f ca="1">INDEX(T_L2[],H14)</f>
        <v>Macadamia Nuts</v>
      </c>
      <c r="Q14" t="e">
        <f ca="1">INDEX(T_L3[],I14)</f>
        <v>#VALUE!</v>
      </c>
      <c r="R14" t="e">
        <f ca="1">INDEX(T_L4[],J14)</f>
        <v>#VALUE!</v>
      </c>
      <c r="S14" t="e">
        <f ca="1">INDEX(T_L5[],K14)</f>
        <v>#VALUE!</v>
      </c>
      <c r="T14" t="e">
        <f ca="1">INDEX(T_L6[],L14)</f>
        <v>#VALUE!</v>
      </c>
      <c r="X14">
        <v>11</v>
      </c>
      <c r="Y14">
        <f ca="1">COUNTIF(HELP!$G$3:$G$502,X14)</f>
        <v>15</v>
      </c>
      <c r="Z14">
        <f ca="1">COUNTIF(HELP!$H$3:$H$502,X14)</f>
        <v>14</v>
      </c>
      <c r="AA14">
        <f ca="1">COUNTIF(HELP!$I$3:$I$502,X14)</f>
        <v>0</v>
      </c>
      <c r="AB14">
        <f ca="1">COUNTIF(HELP!$J$3:$J$502,X14)</f>
        <v>0</v>
      </c>
      <c r="AC14">
        <f ca="1">COUNTIF(HELP!$K$3:$K$502,X14)</f>
        <v>0</v>
      </c>
      <c r="AD14">
        <f ca="1">COUNTIF(HELP!$L$3:$L$502,X14)</f>
        <v>0</v>
      </c>
    </row>
    <row r="15" spans="1:30" x14ac:dyDescent="0.2">
      <c r="F15">
        <v>13</v>
      </c>
      <c r="G15" s="3">
        <f t="shared" ca="1" si="0"/>
        <v>1</v>
      </c>
      <c r="H15" s="3">
        <f t="shared" ca="1" si="1"/>
        <v>13</v>
      </c>
      <c r="I15" t="str">
        <f t="shared" ca="1" si="2"/>
        <v/>
      </c>
      <c r="J15" t="str">
        <f t="shared" ca="1" si="3"/>
        <v/>
      </c>
      <c r="K15" t="str">
        <f t="shared" ca="1" si="4"/>
        <v/>
      </c>
      <c r="L15" t="str">
        <f t="shared" ca="1" si="5"/>
        <v/>
      </c>
      <c r="O15" t="str">
        <f ca="1">INDEX(T_L1[],G15)</f>
        <v>Peanut Butter,</v>
      </c>
      <c r="P15" t="str">
        <f ca="1">INDEX(T_L2[],H15)</f>
        <v>Tahini</v>
      </c>
      <c r="Q15" t="e">
        <f ca="1">INDEX(T_L3[],I15)</f>
        <v>#VALUE!</v>
      </c>
      <c r="R15" t="e">
        <f ca="1">INDEX(T_L4[],J15)</f>
        <v>#VALUE!</v>
      </c>
      <c r="S15" t="e">
        <f ca="1">INDEX(T_L5[],K15)</f>
        <v>#VALUE!</v>
      </c>
      <c r="T15" t="e">
        <f ca="1">INDEX(T_L6[],L15)</f>
        <v>#VALUE!</v>
      </c>
      <c r="X15">
        <v>12</v>
      </c>
      <c r="Y15">
        <f ca="1">COUNTIF(HELP!$G$3:$G$502,X15)</f>
        <v>15</v>
      </c>
      <c r="Z15">
        <f ca="1">COUNTIF(HELP!$H$3:$H$502,X15)</f>
        <v>14</v>
      </c>
      <c r="AA15">
        <f ca="1">COUNTIF(HELP!$I$3:$I$502,X15)</f>
        <v>0</v>
      </c>
      <c r="AB15">
        <f ca="1">COUNTIF(HELP!$J$3:$J$502,X15)</f>
        <v>0</v>
      </c>
      <c r="AC15">
        <f ca="1">COUNTIF(HELP!$K$3:$K$502,X15)</f>
        <v>0</v>
      </c>
      <c r="AD15">
        <f ca="1">COUNTIF(HELP!$L$3:$L$502,X15)</f>
        <v>0</v>
      </c>
    </row>
    <row r="16" spans="1:30" x14ac:dyDescent="0.2">
      <c r="F16">
        <v>14</v>
      </c>
      <c r="G16" s="3">
        <f t="shared" ca="1" si="0"/>
        <v>1</v>
      </c>
      <c r="H16" s="3">
        <f t="shared" ca="1" si="1"/>
        <v>14</v>
      </c>
      <c r="I16" t="str">
        <f t="shared" ca="1" si="2"/>
        <v/>
      </c>
      <c r="J16" t="str">
        <f t="shared" ca="1" si="3"/>
        <v/>
      </c>
      <c r="K16" t="str">
        <f t="shared" ca="1" si="4"/>
        <v/>
      </c>
      <c r="L16" t="str">
        <f t="shared" ca="1" si="5"/>
        <v/>
      </c>
      <c r="O16" t="str">
        <f ca="1">INDEX(T_L1[],G16)</f>
        <v>Peanut Butter,</v>
      </c>
      <c r="P16" t="str">
        <f ca="1">INDEX(T_L2[],H16)</f>
        <v>Dark Chocolate</v>
      </c>
      <c r="Q16" t="e">
        <f ca="1">INDEX(T_L3[],I16)</f>
        <v>#VALUE!</v>
      </c>
      <c r="R16" t="e">
        <f ca="1">INDEX(T_L4[],J16)</f>
        <v>#VALUE!</v>
      </c>
      <c r="S16" t="e">
        <f ca="1">INDEX(T_L5[],K16)</f>
        <v>#VALUE!</v>
      </c>
      <c r="T16" t="e">
        <f ca="1">INDEX(T_L6[],L16)</f>
        <v>#VALUE!</v>
      </c>
      <c r="X16">
        <v>13</v>
      </c>
      <c r="Y16">
        <f ca="1">COUNTIF(HELP!$G$3:$G$502,X16)</f>
        <v>15</v>
      </c>
      <c r="Z16">
        <f ca="1">COUNTIF(HELP!$H$3:$H$502,X16)</f>
        <v>14</v>
      </c>
      <c r="AA16">
        <f ca="1">COUNTIF(HELP!$I$3:$I$502,X16)</f>
        <v>0</v>
      </c>
      <c r="AB16">
        <f ca="1">COUNTIF(HELP!$J$3:$J$502,X16)</f>
        <v>0</v>
      </c>
      <c r="AC16">
        <f ca="1">COUNTIF(HELP!$K$3:$K$502,X16)</f>
        <v>0</v>
      </c>
      <c r="AD16">
        <f ca="1">COUNTIF(HELP!$L$3:$L$502,X16)</f>
        <v>0</v>
      </c>
    </row>
    <row r="17" spans="6:30" x14ac:dyDescent="0.2">
      <c r="F17">
        <v>15</v>
      </c>
      <c r="G17" s="3">
        <f t="shared" ca="1" si="0"/>
        <v>1</v>
      </c>
      <c r="H17" s="3">
        <f t="shared" ca="1" si="1"/>
        <v>15</v>
      </c>
      <c r="I17" t="str">
        <f t="shared" ca="1" si="2"/>
        <v/>
      </c>
      <c r="J17" t="str">
        <f t="shared" ca="1" si="3"/>
        <v/>
      </c>
      <c r="K17" t="str">
        <f t="shared" ca="1" si="4"/>
        <v/>
      </c>
      <c r="L17" t="str">
        <f t="shared" ca="1" si="5"/>
        <v/>
      </c>
      <c r="O17" t="str">
        <f ca="1">INDEX(T_L1[],G17)</f>
        <v>Peanut Butter,</v>
      </c>
      <c r="P17" t="str">
        <f ca="1">INDEX(T_L2[],H17)</f>
        <v>-</v>
      </c>
      <c r="Q17" t="e">
        <f ca="1">INDEX(T_L3[],I17)</f>
        <v>#VALUE!</v>
      </c>
      <c r="R17" t="e">
        <f ca="1">INDEX(T_L4[],J17)</f>
        <v>#VALUE!</v>
      </c>
      <c r="S17" t="e">
        <f ca="1">INDEX(T_L5[],K17)</f>
        <v>#VALUE!</v>
      </c>
      <c r="T17" t="e">
        <f ca="1">INDEX(T_L6[],L17)</f>
        <v>#VALUE!</v>
      </c>
      <c r="X17">
        <v>14</v>
      </c>
      <c r="Y17">
        <f ca="1">COUNTIF(HELP!$G$3:$G$502,X17)</f>
        <v>15</v>
      </c>
      <c r="Z17">
        <f ca="1">COUNTIF(HELP!$H$3:$H$502,X17)</f>
        <v>14</v>
      </c>
      <c r="AA17">
        <f ca="1">COUNTIF(HELP!$I$3:$I$502,X17)</f>
        <v>0</v>
      </c>
      <c r="AB17">
        <f ca="1">COUNTIF(HELP!$J$3:$J$502,X17)</f>
        <v>0</v>
      </c>
      <c r="AC17">
        <f ca="1">COUNTIF(HELP!$K$3:$K$502,X17)</f>
        <v>0</v>
      </c>
      <c r="AD17">
        <f ca="1">COUNTIF(HELP!$L$3:$L$502,X17)</f>
        <v>0</v>
      </c>
    </row>
    <row r="18" spans="6:30" x14ac:dyDescent="0.2">
      <c r="F18">
        <v>16</v>
      </c>
      <c r="G18" s="3">
        <f t="shared" ca="1" si="0"/>
        <v>2</v>
      </c>
      <c r="H18" s="3">
        <f t="shared" ca="1" si="1"/>
        <v>1</v>
      </c>
      <c r="I18" t="str">
        <f t="shared" ca="1" si="2"/>
        <v/>
      </c>
      <c r="J18" t="str">
        <f t="shared" ca="1" si="3"/>
        <v/>
      </c>
      <c r="K18" t="str">
        <f t="shared" ca="1" si="4"/>
        <v/>
      </c>
      <c r="L18" t="str">
        <f t="shared" ca="1" si="5"/>
        <v/>
      </c>
      <c r="O18" t="str">
        <f ca="1">INDEX(T_L1[],G18)</f>
        <v>Almond Butter,</v>
      </c>
      <c r="P18" t="str">
        <f ca="1">INDEX(T_L2[],H18)</f>
        <v>Peanut Butter</v>
      </c>
      <c r="Q18" t="e">
        <f ca="1">INDEX(T_L3[],I18)</f>
        <v>#VALUE!</v>
      </c>
      <c r="R18" t="e">
        <f ca="1">INDEX(T_L4[],J18)</f>
        <v>#VALUE!</v>
      </c>
      <c r="S18" t="e">
        <f ca="1">INDEX(T_L5[],K18)</f>
        <v>#VALUE!</v>
      </c>
      <c r="T18" t="e">
        <f ca="1">INDEX(T_L6[],L18)</f>
        <v>#VALUE!</v>
      </c>
      <c r="X18">
        <v>15</v>
      </c>
      <c r="Y18">
        <f ca="1">COUNTIF(HELP!$G$3:$G$502,X18)</f>
        <v>0</v>
      </c>
      <c r="Z18">
        <f ca="1">COUNTIF(HELP!$H$3:$H$502,X18)</f>
        <v>14</v>
      </c>
      <c r="AA18">
        <f ca="1">COUNTIF(HELP!$I$3:$I$502,X18)</f>
        <v>0</v>
      </c>
      <c r="AB18">
        <f ca="1">COUNTIF(HELP!$J$3:$J$502,X18)</f>
        <v>0</v>
      </c>
      <c r="AC18">
        <f ca="1">COUNTIF(HELP!$K$3:$K$502,X18)</f>
        <v>0</v>
      </c>
      <c r="AD18">
        <f ca="1">COUNTIF(HELP!$L$3:$L$502,X18)</f>
        <v>0</v>
      </c>
    </row>
    <row r="19" spans="6:30" x14ac:dyDescent="0.2">
      <c r="F19">
        <v>17</v>
      </c>
      <c r="G19" s="3">
        <f t="shared" ca="1" si="0"/>
        <v>2</v>
      </c>
      <c r="H19" s="3">
        <f t="shared" ca="1" si="1"/>
        <v>2</v>
      </c>
      <c r="I19" t="str">
        <f t="shared" ca="1" si="2"/>
        <v/>
      </c>
      <c r="J19" t="str">
        <f t="shared" ca="1" si="3"/>
        <v/>
      </c>
      <c r="K19" t="str">
        <f t="shared" ca="1" si="4"/>
        <v/>
      </c>
      <c r="L19" t="str">
        <f t="shared" ca="1" si="5"/>
        <v/>
      </c>
      <c r="O19" t="str">
        <f ca="1">INDEX(T_L1[],G19)</f>
        <v>Almond Butter,</v>
      </c>
      <c r="P19" t="str">
        <f ca="1">INDEX(T_L2[],H19)</f>
        <v>Almond Butter</v>
      </c>
      <c r="Q19" t="e">
        <f ca="1">INDEX(T_L3[],I19)</f>
        <v>#VALUE!</v>
      </c>
      <c r="R19" t="e">
        <f ca="1">INDEX(T_L4[],J19)</f>
        <v>#VALUE!</v>
      </c>
      <c r="S19" t="e">
        <f ca="1">INDEX(T_L5[],K19)</f>
        <v>#VALUE!</v>
      </c>
      <c r="T19" t="e">
        <f ca="1">INDEX(T_L6[],L19)</f>
        <v>#VALUE!</v>
      </c>
      <c r="X19">
        <v>16</v>
      </c>
      <c r="Y19">
        <f ca="1">COUNTIF(HELP!$G$3:$G$502,X19)</f>
        <v>0</v>
      </c>
      <c r="Z19">
        <f ca="1">COUNTIF(HELP!$H$3:$H$502,X19)</f>
        <v>0</v>
      </c>
      <c r="AA19">
        <f ca="1">COUNTIF(HELP!$I$3:$I$502,X19)</f>
        <v>0</v>
      </c>
      <c r="AB19">
        <f ca="1">COUNTIF(HELP!$J$3:$J$502,X19)</f>
        <v>0</v>
      </c>
      <c r="AC19">
        <f ca="1">COUNTIF(HELP!$K$3:$K$502,X19)</f>
        <v>0</v>
      </c>
      <c r="AD19">
        <f ca="1">COUNTIF(HELP!$L$3:$L$502,X19)</f>
        <v>0</v>
      </c>
    </row>
    <row r="20" spans="6:30" x14ac:dyDescent="0.2">
      <c r="F20">
        <v>18</v>
      </c>
      <c r="G20" s="3">
        <f t="shared" ca="1" si="0"/>
        <v>2</v>
      </c>
      <c r="H20" s="3">
        <f t="shared" ca="1" si="1"/>
        <v>3</v>
      </c>
      <c r="I20" t="str">
        <f t="shared" ca="1" si="2"/>
        <v/>
      </c>
      <c r="J20" t="str">
        <f t="shared" ca="1" si="3"/>
        <v/>
      </c>
      <c r="K20" t="str">
        <f t="shared" ca="1" si="4"/>
        <v/>
      </c>
      <c r="L20" t="str">
        <f t="shared" ca="1" si="5"/>
        <v/>
      </c>
      <c r="O20" t="str">
        <f ca="1">INDEX(T_L1[],G20)</f>
        <v>Almond Butter,</v>
      </c>
      <c r="P20" t="str">
        <f ca="1">INDEX(T_L2[],H20)</f>
        <v>Cashew Butter</v>
      </c>
      <c r="Q20" t="e">
        <f ca="1">INDEX(T_L3[],I20)</f>
        <v>#VALUE!</v>
      </c>
      <c r="R20" t="e">
        <f ca="1">INDEX(T_L4[],J20)</f>
        <v>#VALUE!</v>
      </c>
      <c r="S20" t="e">
        <f ca="1">INDEX(T_L5[],K20)</f>
        <v>#VALUE!</v>
      </c>
      <c r="T20" t="e">
        <f ca="1">INDEX(T_L6[],L20)</f>
        <v>#VALUE!</v>
      </c>
      <c r="X20">
        <v>17</v>
      </c>
      <c r="Y20">
        <f ca="1">COUNTIF(HELP!$G$3:$G$502,X20)</f>
        <v>0</v>
      </c>
      <c r="Z20">
        <f ca="1">COUNTIF(HELP!$H$3:$H$502,X20)</f>
        <v>0</v>
      </c>
      <c r="AA20">
        <f ca="1">COUNTIF(HELP!$I$3:$I$502,X20)</f>
        <v>0</v>
      </c>
      <c r="AB20">
        <f ca="1">COUNTIF(HELP!$J$3:$J$502,X20)</f>
        <v>0</v>
      </c>
      <c r="AC20">
        <f ca="1">COUNTIF(HELP!$K$3:$K$502,X20)</f>
        <v>0</v>
      </c>
      <c r="AD20">
        <f ca="1">COUNTIF(HELP!$L$3:$L$502,X20)</f>
        <v>0</v>
      </c>
    </row>
    <row r="21" spans="6:30" x14ac:dyDescent="0.2">
      <c r="F21">
        <v>19</v>
      </c>
      <c r="G21" s="3">
        <f t="shared" ca="1" si="0"/>
        <v>2</v>
      </c>
      <c r="H21" s="3">
        <f t="shared" ca="1" si="1"/>
        <v>4</v>
      </c>
      <c r="I21" t="str">
        <f t="shared" ca="1" si="2"/>
        <v/>
      </c>
      <c r="J21" t="str">
        <f t="shared" ca="1" si="3"/>
        <v/>
      </c>
      <c r="K21" t="str">
        <f t="shared" ca="1" si="4"/>
        <v/>
      </c>
      <c r="L21" t="str">
        <f t="shared" ca="1" si="5"/>
        <v/>
      </c>
      <c r="O21" t="str">
        <f ca="1">INDEX(T_L1[],G21)</f>
        <v>Almond Butter,</v>
      </c>
      <c r="P21" t="str">
        <f ca="1">INDEX(T_L2[],H21)</f>
        <v>Chia Seeds</v>
      </c>
      <c r="Q21" t="e">
        <f ca="1">INDEX(T_L3[],I21)</f>
        <v>#VALUE!</v>
      </c>
      <c r="R21" t="e">
        <f ca="1">INDEX(T_L4[],J21)</f>
        <v>#VALUE!</v>
      </c>
      <c r="S21" t="e">
        <f ca="1">INDEX(T_L5[],K21)</f>
        <v>#VALUE!</v>
      </c>
      <c r="T21" t="e">
        <f ca="1">INDEX(T_L6[],L21)</f>
        <v>#VALUE!</v>
      </c>
      <c r="X21">
        <v>18</v>
      </c>
      <c r="Y21">
        <f ca="1">COUNTIF(HELP!$G$3:$G$502,X21)</f>
        <v>0</v>
      </c>
      <c r="Z21">
        <f ca="1">COUNTIF(HELP!$H$3:$H$502,X21)</f>
        <v>0</v>
      </c>
      <c r="AA21">
        <f ca="1">COUNTIF(HELP!$I$3:$I$502,X21)</f>
        <v>0</v>
      </c>
      <c r="AB21">
        <f ca="1">COUNTIF(HELP!$J$3:$J$502,X21)</f>
        <v>0</v>
      </c>
      <c r="AC21">
        <f ca="1">COUNTIF(HELP!$K$3:$K$502,X21)</f>
        <v>0</v>
      </c>
      <c r="AD21">
        <f ca="1">COUNTIF(HELP!$L$3:$L$502,X21)</f>
        <v>0</v>
      </c>
    </row>
    <row r="22" spans="6:30" x14ac:dyDescent="0.2">
      <c r="F22">
        <v>20</v>
      </c>
      <c r="G22" s="3">
        <f t="shared" ca="1" si="0"/>
        <v>2</v>
      </c>
      <c r="H22" s="3">
        <f t="shared" ca="1" si="1"/>
        <v>5</v>
      </c>
      <c r="I22" t="str">
        <f t="shared" ca="1" si="2"/>
        <v/>
      </c>
      <c r="J22" t="str">
        <f t="shared" ca="1" si="3"/>
        <v/>
      </c>
      <c r="K22" t="str">
        <f t="shared" ca="1" si="4"/>
        <v/>
      </c>
      <c r="L22" t="str">
        <f t="shared" ca="1" si="5"/>
        <v/>
      </c>
      <c r="O22" t="str">
        <f ca="1">INDEX(T_L1[],G22)</f>
        <v>Almond Butter,</v>
      </c>
      <c r="P22" t="str">
        <f ca="1">INDEX(T_L2[],H22)</f>
        <v>Flax Seeds</v>
      </c>
      <c r="Q22" t="e">
        <f ca="1">INDEX(T_L3[],I22)</f>
        <v>#VALUE!</v>
      </c>
      <c r="R22" t="e">
        <f ca="1">INDEX(T_L4[],J22)</f>
        <v>#VALUE!</v>
      </c>
      <c r="S22" t="e">
        <f ca="1">INDEX(T_L5[],K22)</f>
        <v>#VALUE!</v>
      </c>
      <c r="T22" t="e">
        <f ca="1">INDEX(T_L6[],L22)</f>
        <v>#VALUE!</v>
      </c>
      <c r="X22">
        <v>19</v>
      </c>
      <c r="Y22">
        <f ca="1">COUNTIF(HELP!$G$3:$G$502,X22)</f>
        <v>0</v>
      </c>
      <c r="Z22">
        <f ca="1">COUNTIF(HELP!$H$3:$H$502,X22)</f>
        <v>0</v>
      </c>
      <c r="AA22">
        <f ca="1">COUNTIF(HELP!$I$3:$I$502,X22)</f>
        <v>0</v>
      </c>
      <c r="AB22">
        <f ca="1">COUNTIF(HELP!$J$3:$J$502,X22)</f>
        <v>0</v>
      </c>
      <c r="AC22">
        <f ca="1">COUNTIF(HELP!$K$3:$K$502,X22)</f>
        <v>0</v>
      </c>
      <c r="AD22">
        <f ca="1">COUNTIF(HELP!$L$3:$L$502,X22)</f>
        <v>0</v>
      </c>
    </row>
    <row r="23" spans="6:30" x14ac:dyDescent="0.2">
      <c r="F23">
        <v>21</v>
      </c>
      <c r="G23" s="3">
        <f t="shared" ca="1" si="0"/>
        <v>2</v>
      </c>
      <c r="H23" s="3">
        <f t="shared" ca="1" si="1"/>
        <v>6</v>
      </c>
      <c r="I23" t="str">
        <f t="shared" ca="1" si="2"/>
        <v/>
      </c>
      <c r="J23" t="str">
        <f t="shared" ca="1" si="3"/>
        <v/>
      </c>
      <c r="K23" t="str">
        <f t="shared" ca="1" si="4"/>
        <v/>
      </c>
      <c r="L23" t="str">
        <f t="shared" ca="1" si="5"/>
        <v/>
      </c>
      <c r="O23" t="str">
        <f ca="1">INDEX(T_L1[],G23)</f>
        <v>Almond Butter,</v>
      </c>
      <c r="P23" t="str">
        <f ca="1">INDEX(T_L2[],H23)</f>
        <v>Hemp Seeds</v>
      </c>
      <c r="Q23" t="e">
        <f ca="1">INDEX(T_L3[],I23)</f>
        <v>#VALUE!</v>
      </c>
      <c r="R23" t="e">
        <f ca="1">INDEX(T_L4[],J23)</f>
        <v>#VALUE!</v>
      </c>
      <c r="S23" t="e">
        <f ca="1">INDEX(T_L5[],K23)</f>
        <v>#VALUE!</v>
      </c>
      <c r="T23" t="e">
        <f ca="1">INDEX(T_L6[],L23)</f>
        <v>#VALUE!</v>
      </c>
      <c r="X23">
        <v>20</v>
      </c>
      <c r="Y23">
        <f ca="1">COUNTIF(HELP!$G$3:$G$502,X23)</f>
        <v>0</v>
      </c>
      <c r="Z23">
        <f ca="1">COUNTIF(HELP!$H$3:$H$502,X23)</f>
        <v>0</v>
      </c>
      <c r="AA23">
        <f ca="1">COUNTIF(HELP!$I$3:$I$502,X23)</f>
        <v>0</v>
      </c>
      <c r="AB23">
        <f ca="1">COUNTIF(HELP!$J$3:$J$502,X23)</f>
        <v>0</v>
      </c>
      <c r="AC23">
        <f ca="1">COUNTIF(HELP!$K$3:$K$502,X23)</f>
        <v>0</v>
      </c>
      <c r="AD23">
        <f ca="1">COUNTIF(HELP!$L$3:$L$502,X23)</f>
        <v>0</v>
      </c>
    </row>
    <row r="24" spans="6:30" x14ac:dyDescent="0.2">
      <c r="F24">
        <v>22</v>
      </c>
      <c r="G24" s="3">
        <f t="shared" ca="1" si="0"/>
        <v>2</v>
      </c>
      <c r="H24" s="3">
        <f t="shared" ca="1" si="1"/>
        <v>7</v>
      </c>
      <c r="I24" t="str">
        <f t="shared" ca="1" si="2"/>
        <v/>
      </c>
      <c r="J24" t="str">
        <f t="shared" ca="1" si="3"/>
        <v/>
      </c>
      <c r="K24" t="str">
        <f t="shared" ca="1" si="4"/>
        <v/>
      </c>
      <c r="L24" t="str">
        <f t="shared" ca="1" si="5"/>
        <v/>
      </c>
      <c r="O24" t="str">
        <f ca="1">INDEX(T_L1[],G24)</f>
        <v>Almond Butter,</v>
      </c>
      <c r="P24" t="str">
        <f ca="1">INDEX(T_L2[],H24)</f>
        <v>Avocado</v>
      </c>
      <c r="Q24" t="e">
        <f ca="1">INDEX(T_L3[],I24)</f>
        <v>#VALUE!</v>
      </c>
      <c r="R24" t="e">
        <f ca="1">INDEX(T_L4[],J24)</f>
        <v>#VALUE!</v>
      </c>
      <c r="S24" t="e">
        <f ca="1">INDEX(T_L5[],K24)</f>
        <v>#VALUE!</v>
      </c>
      <c r="T24" t="e">
        <f ca="1">INDEX(T_L6[],L24)</f>
        <v>#VALUE!</v>
      </c>
      <c r="X24">
        <v>21</v>
      </c>
      <c r="Y24">
        <f ca="1">COUNTIF(HELP!$G$3:$G$502,X24)</f>
        <v>0</v>
      </c>
      <c r="Z24">
        <f ca="1">COUNTIF(HELP!$H$3:$H$502,X24)</f>
        <v>0</v>
      </c>
      <c r="AA24">
        <f ca="1">COUNTIF(HELP!$I$3:$I$502,X24)</f>
        <v>0</v>
      </c>
      <c r="AB24">
        <f ca="1">COUNTIF(HELP!$J$3:$J$502,X24)</f>
        <v>0</v>
      </c>
      <c r="AC24">
        <f ca="1">COUNTIF(HELP!$K$3:$K$502,X24)</f>
        <v>0</v>
      </c>
      <c r="AD24">
        <f ca="1">COUNTIF(HELP!$L$3:$L$502,X24)</f>
        <v>0</v>
      </c>
    </row>
    <row r="25" spans="6:30" x14ac:dyDescent="0.2">
      <c r="F25">
        <v>23</v>
      </c>
      <c r="G25" s="3">
        <f t="shared" ca="1" si="0"/>
        <v>2</v>
      </c>
      <c r="H25" s="3">
        <f t="shared" ca="1" si="1"/>
        <v>8</v>
      </c>
      <c r="I25" t="str">
        <f t="shared" ca="1" si="2"/>
        <v/>
      </c>
      <c r="J25" t="str">
        <f t="shared" ca="1" si="3"/>
        <v/>
      </c>
      <c r="K25" t="str">
        <f t="shared" ca="1" si="4"/>
        <v/>
      </c>
      <c r="L25" t="str">
        <f t="shared" ca="1" si="5"/>
        <v/>
      </c>
      <c r="O25" t="str">
        <f ca="1">INDEX(T_L1[],G25)</f>
        <v>Almond Butter,</v>
      </c>
      <c r="P25" t="str">
        <f ca="1">INDEX(T_L2[],H25)</f>
        <v>Coconut Oil</v>
      </c>
      <c r="Q25" t="e">
        <f ca="1">INDEX(T_L3[],I25)</f>
        <v>#VALUE!</v>
      </c>
      <c r="R25" t="e">
        <f ca="1">INDEX(T_L4[],J25)</f>
        <v>#VALUE!</v>
      </c>
      <c r="S25" t="e">
        <f ca="1">INDEX(T_L5[],K25)</f>
        <v>#VALUE!</v>
      </c>
      <c r="T25" t="e">
        <f ca="1">INDEX(T_L6[],L25)</f>
        <v>#VALUE!</v>
      </c>
      <c r="X25">
        <v>22</v>
      </c>
      <c r="Y25">
        <f ca="1">COUNTIF(HELP!$G$3:$G$502,X25)</f>
        <v>0</v>
      </c>
      <c r="Z25">
        <f ca="1">COUNTIF(HELP!$H$3:$H$502,X25)</f>
        <v>0</v>
      </c>
      <c r="AA25">
        <f ca="1">COUNTIF(HELP!$I$3:$I$502,X25)</f>
        <v>0</v>
      </c>
      <c r="AB25">
        <f ca="1">COUNTIF(HELP!$J$3:$J$502,X25)</f>
        <v>0</v>
      </c>
      <c r="AC25">
        <f ca="1">COUNTIF(HELP!$K$3:$K$502,X25)</f>
        <v>0</v>
      </c>
      <c r="AD25">
        <f ca="1">COUNTIF(HELP!$L$3:$L$502,X25)</f>
        <v>0</v>
      </c>
    </row>
    <row r="26" spans="6:30" x14ac:dyDescent="0.2">
      <c r="F26">
        <v>24</v>
      </c>
      <c r="G26" s="3">
        <f t="shared" ca="1" si="0"/>
        <v>2</v>
      </c>
      <c r="H26" s="3">
        <f t="shared" ca="1" si="1"/>
        <v>9</v>
      </c>
      <c r="I26" t="str">
        <f t="shared" ca="1" si="2"/>
        <v/>
      </c>
      <c r="J26" t="str">
        <f t="shared" ca="1" si="3"/>
        <v/>
      </c>
      <c r="K26" t="str">
        <f t="shared" ca="1" si="4"/>
        <v/>
      </c>
      <c r="L26" t="str">
        <f t="shared" ca="1" si="5"/>
        <v/>
      </c>
      <c r="O26" t="str">
        <f ca="1">INDEX(T_L1[],G26)</f>
        <v>Almond Butter,</v>
      </c>
      <c r="P26" t="str">
        <f ca="1">INDEX(T_L2[],H26)</f>
        <v>MCT Oil</v>
      </c>
      <c r="Q26" t="e">
        <f ca="1">INDEX(T_L3[],I26)</f>
        <v>#VALUE!</v>
      </c>
      <c r="R26" t="e">
        <f ca="1">INDEX(T_L4[],J26)</f>
        <v>#VALUE!</v>
      </c>
      <c r="S26" t="e">
        <f ca="1">INDEX(T_L5[],K26)</f>
        <v>#VALUE!</v>
      </c>
      <c r="T26" t="e">
        <f ca="1">INDEX(T_L6[],L26)</f>
        <v>#VALUE!</v>
      </c>
      <c r="X26">
        <v>23</v>
      </c>
      <c r="Y26">
        <f ca="1">COUNTIF(HELP!$G$3:$G$502,X26)</f>
        <v>0</v>
      </c>
      <c r="Z26">
        <f ca="1">COUNTIF(HELP!$H$3:$H$502,X26)</f>
        <v>0</v>
      </c>
      <c r="AA26">
        <f ca="1">COUNTIF(HELP!$I$3:$I$502,X26)</f>
        <v>0</v>
      </c>
      <c r="AB26">
        <f ca="1">COUNTIF(HELP!$J$3:$J$502,X26)</f>
        <v>0</v>
      </c>
      <c r="AC26">
        <f ca="1">COUNTIF(HELP!$K$3:$K$502,X26)</f>
        <v>0</v>
      </c>
      <c r="AD26">
        <f ca="1">COUNTIF(HELP!$L$3:$L$502,X26)</f>
        <v>0</v>
      </c>
    </row>
    <row r="27" spans="6:30" x14ac:dyDescent="0.2">
      <c r="F27">
        <v>25</v>
      </c>
      <c r="G27" s="3">
        <f t="shared" ca="1" si="0"/>
        <v>2</v>
      </c>
      <c r="H27" s="3">
        <f t="shared" ca="1" si="1"/>
        <v>10</v>
      </c>
      <c r="I27" t="str">
        <f t="shared" ca="1" si="2"/>
        <v/>
      </c>
      <c r="J27" t="str">
        <f t="shared" ca="1" si="3"/>
        <v/>
      </c>
      <c r="K27" t="str">
        <f t="shared" ca="1" si="4"/>
        <v/>
      </c>
      <c r="L27" t="str">
        <f t="shared" ca="1" si="5"/>
        <v/>
      </c>
      <c r="O27" t="str">
        <f ca="1">INDEX(T_L1[],G27)</f>
        <v>Almond Butter,</v>
      </c>
      <c r="P27" t="str">
        <f ca="1">INDEX(T_L2[],H27)</f>
        <v>Walnuts</v>
      </c>
      <c r="Q27" t="e">
        <f ca="1">INDEX(T_L3[],I27)</f>
        <v>#VALUE!</v>
      </c>
      <c r="R27" t="e">
        <f ca="1">INDEX(T_L4[],J27)</f>
        <v>#VALUE!</v>
      </c>
      <c r="S27" t="e">
        <f ca="1">INDEX(T_L5[],K27)</f>
        <v>#VALUE!</v>
      </c>
      <c r="T27" t="e">
        <f ca="1">INDEX(T_L6[],L27)</f>
        <v>#VALUE!</v>
      </c>
      <c r="X27">
        <v>24</v>
      </c>
      <c r="Y27">
        <f ca="1">COUNTIF(HELP!$G$3:$G$502,X27)</f>
        <v>0</v>
      </c>
      <c r="Z27">
        <f ca="1">COUNTIF(HELP!$H$3:$H$502,X27)</f>
        <v>0</v>
      </c>
      <c r="AA27">
        <f ca="1">COUNTIF(HELP!$I$3:$I$502,X27)</f>
        <v>0</v>
      </c>
      <c r="AB27">
        <f ca="1">COUNTIF(HELP!$J$3:$J$502,X27)</f>
        <v>0</v>
      </c>
      <c r="AC27">
        <f ca="1">COUNTIF(HELP!$K$3:$K$502,X27)</f>
        <v>0</v>
      </c>
      <c r="AD27">
        <f ca="1">COUNTIF(HELP!$L$3:$L$502,X27)</f>
        <v>0</v>
      </c>
    </row>
    <row r="28" spans="6:30" x14ac:dyDescent="0.2">
      <c r="F28">
        <v>26</v>
      </c>
      <c r="G28" s="3">
        <f t="shared" ca="1" si="0"/>
        <v>2</v>
      </c>
      <c r="H28" s="3">
        <f t="shared" ca="1" si="1"/>
        <v>11</v>
      </c>
      <c r="I28" t="str">
        <f t="shared" ca="1" si="2"/>
        <v/>
      </c>
      <c r="J28" t="str">
        <f t="shared" ca="1" si="3"/>
        <v/>
      </c>
      <c r="K28" t="str">
        <f t="shared" ca="1" si="4"/>
        <v/>
      </c>
      <c r="L28" t="str">
        <f t="shared" ca="1" si="5"/>
        <v/>
      </c>
      <c r="O28" t="str">
        <f ca="1">INDEX(T_L1[],G28)</f>
        <v>Almond Butter,</v>
      </c>
      <c r="P28" t="str">
        <f ca="1">INDEX(T_L2[],H28)</f>
        <v>Pecans</v>
      </c>
      <c r="Q28" t="e">
        <f ca="1">INDEX(T_L3[],I28)</f>
        <v>#VALUE!</v>
      </c>
      <c r="R28" t="e">
        <f ca="1">INDEX(T_L4[],J28)</f>
        <v>#VALUE!</v>
      </c>
      <c r="S28" t="e">
        <f ca="1">INDEX(T_L5[],K28)</f>
        <v>#VALUE!</v>
      </c>
      <c r="T28" t="e">
        <f ca="1">INDEX(T_L6[],L28)</f>
        <v>#VALUE!</v>
      </c>
      <c r="X28">
        <v>25</v>
      </c>
      <c r="Y28">
        <f ca="1">COUNTIF(HELP!$G$3:$G$502,X28)</f>
        <v>0</v>
      </c>
      <c r="Z28">
        <f ca="1">COUNTIF(HELP!$H$3:$H$502,X28)</f>
        <v>0</v>
      </c>
      <c r="AA28">
        <f ca="1">COUNTIF(HELP!$I$3:$I$502,X28)</f>
        <v>0</v>
      </c>
      <c r="AB28">
        <f ca="1">COUNTIF(HELP!$J$3:$J$502,X28)</f>
        <v>0</v>
      </c>
      <c r="AC28">
        <f ca="1">COUNTIF(HELP!$K$3:$K$502,X28)</f>
        <v>0</v>
      </c>
      <c r="AD28">
        <f ca="1">COUNTIF(HELP!$L$3:$L$502,X28)</f>
        <v>0</v>
      </c>
    </row>
    <row r="29" spans="6:30" x14ac:dyDescent="0.2">
      <c r="F29">
        <v>27</v>
      </c>
      <c r="G29" s="3">
        <f t="shared" ca="1" si="0"/>
        <v>2</v>
      </c>
      <c r="H29" s="3">
        <f t="shared" ca="1" si="1"/>
        <v>12</v>
      </c>
      <c r="I29" t="str">
        <f t="shared" ca="1" si="2"/>
        <v/>
      </c>
      <c r="J29" t="str">
        <f t="shared" ca="1" si="3"/>
        <v/>
      </c>
      <c r="K29" t="str">
        <f t="shared" ca="1" si="4"/>
        <v/>
      </c>
      <c r="L29" t="str">
        <f t="shared" ca="1" si="5"/>
        <v/>
      </c>
      <c r="O29" t="str">
        <f ca="1">INDEX(T_L1[],G29)</f>
        <v>Almond Butter,</v>
      </c>
      <c r="P29" t="str">
        <f ca="1">INDEX(T_L2[],H29)</f>
        <v>Macadamia Nuts</v>
      </c>
      <c r="Q29" t="e">
        <f ca="1">INDEX(T_L3[],I29)</f>
        <v>#VALUE!</v>
      </c>
      <c r="R29" t="e">
        <f ca="1">INDEX(T_L4[],J29)</f>
        <v>#VALUE!</v>
      </c>
      <c r="S29" t="e">
        <f ca="1">INDEX(T_L5[],K29)</f>
        <v>#VALUE!</v>
      </c>
      <c r="T29" t="e">
        <f ca="1">INDEX(T_L6[],L29)</f>
        <v>#VALUE!</v>
      </c>
    </row>
    <row r="30" spans="6:30" x14ac:dyDescent="0.2">
      <c r="F30">
        <v>28</v>
      </c>
      <c r="G30" s="3">
        <f t="shared" ca="1" si="0"/>
        <v>2</v>
      </c>
      <c r="H30" s="3">
        <f t="shared" ca="1" si="1"/>
        <v>13</v>
      </c>
      <c r="I30" t="str">
        <f t="shared" ca="1" si="2"/>
        <v/>
      </c>
      <c r="J30" t="str">
        <f t="shared" ca="1" si="3"/>
        <v/>
      </c>
      <c r="K30" t="str">
        <f t="shared" ca="1" si="4"/>
        <v/>
      </c>
      <c r="L30" t="str">
        <f t="shared" ca="1" si="5"/>
        <v/>
      </c>
      <c r="O30" t="str">
        <f ca="1">INDEX(T_L1[],G30)</f>
        <v>Almond Butter,</v>
      </c>
      <c r="P30" t="str">
        <f ca="1">INDEX(T_L2[],H30)</f>
        <v>Tahini</v>
      </c>
      <c r="Q30" t="e">
        <f ca="1">INDEX(T_L3[],I30)</f>
        <v>#VALUE!</v>
      </c>
      <c r="R30" t="e">
        <f ca="1">INDEX(T_L4[],J30)</f>
        <v>#VALUE!</v>
      </c>
      <c r="S30" t="e">
        <f ca="1">INDEX(T_L5[],K30)</f>
        <v>#VALUE!</v>
      </c>
      <c r="T30" t="e">
        <f ca="1">INDEX(T_L6[],L30)</f>
        <v>#VALUE!</v>
      </c>
    </row>
    <row r="31" spans="6:30" x14ac:dyDescent="0.2">
      <c r="F31">
        <v>29</v>
      </c>
      <c r="G31" s="3">
        <f t="shared" ca="1" si="0"/>
        <v>2</v>
      </c>
      <c r="H31" s="3">
        <f t="shared" ca="1" si="1"/>
        <v>14</v>
      </c>
      <c r="I31" t="str">
        <f t="shared" ca="1" si="2"/>
        <v/>
      </c>
      <c r="J31" t="str">
        <f t="shared" ca="1" si="3"/>
        <v/>
      </c>
      <c r="K31" t="str">
        <f t="shared" ca="1" si="4"/>
        <v/>
      </c>
      <c r="L31" t="str">
        <f t="shared" ca="1" si="5"/>
        <v/>
      </c>
      <c r="O31" t="str">
        <f ca="1">INDEX(T_L1[],G31)</f>
        <v>Almond Butter,</v>
      </c>
      <c r="P31" t="str">
        <f ca="1">INDEX(T_L2[],H31)</f>
        <v>Dark Chocolate</v>
      </c>
      <c r="Q31" t="e">
        <f ca="1">INDEX(T_L3[],I31)</f>
        <v>#VALUE!</v>
      </c>
      <c r="R31" t="e">
        <f ca="1">INDEX(T_L4[],J31)</f>
        <v>#VALUE!</v>
      </c>
      <c r="S31" t="e">
        <f ca="1">INDEX(T_L5[],K31)</f>
        <v>#VALUE!</v>
      </c>
      <c r="T31" t="e">
        <f ca="1">INDEX(T_L6[],L31)</f>
        <v>#VALUE!</v>
      </c>
    </row>
    <row r="32" spans="6:30" x14ac:dyDescent="0.2">
      <c r="F32">
        <v>30</v>
      </c>
      <c r="G32" s="3">
        <f t="shared" ca="1" si="0"/>
        <v>2</v>
      </c>
      <c r="H32" s="3">
        <f t="shared" ca="1" si="1"/>
        <v>15</v>
      </c>
      <c r="I32" t="str">
        <f t="shared" ca="1" si="2"/>
        <v/>
      </c>
      <c r="J32" t="str">
        <f t="shared" ca="1" si="3"/>
        <v/>
      </c>
      <c r="K32" t="str">
        <f t="shared" ca="1" si="4"/>
        <v/>
      </c>
      <c r="L32" t="str">
        <f t="shared" ca="1" si="5"/>
        <v/>
      </c>
      <c r="O32" t="str">
        <f ca="1">INDEX(T_L1[],G32)</f>
        <v>Almond Butter,</v>
      </c>
      <c r="P32" t="str">
        <f ca="1">INDEX(T_L2[],H32)</f>
        <v>-</v>
      </c>
      <c r="Q32" t="e">
        <f ca="1">INDEX(T_L3[],I32)</f>
        <v>#VALUE!</v>
      </c>
      <c r="R32" t="e">
        <f ca="1">INDEX(T_L4[],J32)</f>
        <v>#VALUE!</v>
      </c>
      <c r="S32" t="e">
        <f ca="1">INDEX(T_L5[],K32)</f>
        <v>#VALUE!</v>
      </c>
      <c r="T32" t="e">
        <f ca="1">INDEX(T_L6[],L32)</f>
        <v>#VALUE!</v>
      </c>
    </row>
    <row r="33" spans="6:20" x14ac:dyDescent="0.2">
      <c r="F33">
        <v>31</v>
      </c>
      <c r="G33" s="3">
        <f t="shared" ca="1" si="0"/>
        <v>3</v>
      </c>
      <c r="H33" s="3">
        <f t="shared" ca="1" si="1"/>
        <v>1</v>
      </c>
      <c r="I33" t="str">
        <f t="shared" ca="1" si="2"/>
        <v/>
      </c>
      <c r="J33" t="str">
        <f t="shared" ca="1" si="3"/>
        <v/>
      </c>
      <c r="K33" t="str">
        <f t="shared" ca="1" si="4"/>
        <v/>
      </c>
      <c r="L33" t="str">
        <f t="shared" ca="1" si="5"/>
        <v/>
      </c>
      <c r="O33" t="str">
        <f ca="1">INDEX(T_L1[],G33)</f>
        <v>Cashew Butter,</v>
      </c>
      <c r="P33" t="str">
        <f ca="1">INDEX(T_L2[],H33)</f>
        <v>Peanut Butter</v>
      </c>
      <c r="Q33" t="e">
        <f ca="1">INDEX(T_L3[],I33)</f>
        <v>#VALUE!</v>
      </c>
      <c r="R33" t="e">
        <f ca="1">INDEX(T_L4[],J33)</f>
        <v>#VALUE!</v>
      </c>
      <c r="S33" t="e">
        <f ca="1">INDEX(T_L5[],K33)</f>
        <v>#VALUE!</v>
      </c>
      <c r="T33" t="e">
        <f ca="1">INDEX(T_L6[],L33)</f>
        <v>#VALUE!</v>
      </c>
    </row>
    <row r="34" spans="6:20" x14ac:dyDescent="0.2">
      <c r="F34">
        <v>32</v>
      </c>
      <c r="G34" s="3">
        <f t="shared" ca="1" si="0"/>
        <v>3</v>
      </c>
      <c r="H34" s="3">
        <f t="shared" ca="1" si="1"/>
        <v>2</v>
      </c>
      <c r="I34" t="str">
        <f t="shared" ca="1" si="2"/>
        <v/>
      </c>
      <c r="J34" t="str">
        <f t="shared" ca="1" si="3"/>
        <v/>
      </c>
      <c r="K34" t="str">
        <f t="shared" ca="1" si="4"/>
        <v/>
      </c>
      <c r="L34" t="str">
        <f t="shared" ca="1" si="5"/>
        <v/>
      </c>
      <c r="O34" t="str">
        <f ca="1">INDEX(T_L1[],G34)</f>
        <v>Cashew Butter,</v>
      </c>
      <c r="P34" t="str">
        <f ca="1">INDEX(T_L2[],H34)</f>
        <v>Almond Butter</v>
      </c>
      <c r="Q34" t="e">
        <f ca="1">INDEX(T_L3[],I34)</f>
        <v>#VALUE!</v>
      </c>
      <c r="R34" t="e">
        <f ca="1">INDEX(T_L4[],J34)</f>
        <v>#VALUE!</v>
      </c>
      <c r="S34" t="e">
        <f ca="1">INDEX(T_L5[],K34)</f>
        <v>#VALUE!</v>
      </c>
      <c r="T34" t="e">
        <f ca="1">INDEX(T_L6[],L34)</f>
        <v>#VALUE!</v>
      </c>
    </row>
    <row r="35" spans="6:20" x14ac:dyDescent="0.2">
      <c r="F35">
        <v>33</v>
      </c>
      <c r="G35" s="3">
        <f t="shared" ca="1" si="0"/>
        <v>3</v>
      </c>
      <c r="H35" s="3">
        <f t="shared" ca="1" si="1"/>
        <v>3</v>
      </c>
      <c r="I35" t="str">
        <f t="shared" ca="1" si="2"/>
        <v/>
      </c>
      <c r="J35" t="str">
        <f t="shared" ca="1" si="3"/>
        <v/>
      </c>
      <c r="K35" t="str">
        <f t="shared" ca="1" si="4"/>
        <v/>
      </c>
      <c r="L35" t="str">
        <f t="shared" ca="1" si="5"/>
        <v/>
      </c>
      <c r="O35" t="str">
        <f ca="1">INDEX(T_L1[],G35)</f>
        <v>Cashew Butter,</v>
      </c>
      <c r="P35" t="str">
        <f ca="1">INDEX(T_L2[],H35)</f>
        <v>Cashew Butter</v>
      </c>
      <c r="Q35" t="e">
        <f ca="1">INDEX(T_L3[],I35)</f>
        <v>#VALUE!</v>
      </c>
      <c r="R35" t="e">
        <f ca="1">INDEX(T_L4[],J35)</f>
        <v>#VALUE!</v>
      </c>
      <c r="S35" t="e">
        <f ca="1">INDEX(T_L5[],K35)</f>
        <v>#VALUE!</v>
      </c>
      <c r="T35" t="e">
        <f ca="1">INDEX(T_L6[],L35)</f>
        <v>#VALUE!</v>
      </c>
    </row>
    <row r="36" spans="6:20" x14ac:dyDescent="0.2">
      <c r="F36">
        <v>34</v>
      </c>
      <c r="G36" s="3">
        <f t="shared" ca="1" si="0"/>
        <v>3</v>
      </c>
      <c r="H36" s="3">
        <f t="shared" ca="1" si="1"/>
        <v>4</v>
      </c>
      <c r="I36" t="str">
        <f t="shared" ca="1" si="2"/>
        <v/>
      </c>
      <c r="J36" t="str">
        <f t="shared" ca="1" si="3"/>
        <v/>
      </c>
      <c r="K36" t="str">
        <f t="shared" ca="1" si="4"/>
        <v/>
      </c>
      <c r="L36" t="str">
        <f t="shared" ca="1" si="5"/>
        <v/>
      </c>
      <c r="O36" t="str">
        <f ca="1">INDEX(T_L1[],G36)</f>
        <v>Cashew Butter,</v>
      </c>
      <c r="P36" t="str">
        <f ca="1">INDEX(T_L2[],H36)</f>
        <v>Chia Seeds</v>
      </c>
      <c r="Q36" t="e">
        <f ca="1">INDEX(T_L3[],I36)</f>
        <v>#VALUE!</v>
      </c>
      <c r="R36" t="e">
        <f ca="1">INDEX(T_L4[],J36)</f>
        <v>#VALUE!</v>
      </c>
      <c r="S36" t="e">
        <f ca="1">INDEX(T_L5[],K36)</f>
        <v>#VALUE!</v>
      </c>
      <c r="T36" t="e">
        <f ca="1">INDEX(T_L6[],L36)</f>
        <v>#VALUE!</v>
      </c>
    </row>
    <row r="37" spans="6:20" x14ac:dyDescent="0.2">
      <c r="F37">
        <v>35</v>
      </c>
      <c r="G37" s="3">
        <f t="shared" ca="1" si="0"/>
        <v>3</v>
      </c>
      <c r="H37" s="3">
        <f t="shared" ca="1" si="1"/>
        <v>5</v>
      </c>
      <c r="I37" t="str">
        <f t="shared" ca="1" si="2"/>
        <v/>
      </c>
      <c r="J37" t="str">
        <f t="shared" ca="1" si="3"/>
        <v/>
      </c>
      <c r="K37" t="str">
        <f t="shared" ca="1" si="4"/>
        <v/>
      </c>
      <c r="L37" t="str">
        <f t="shared" ca="1" si="5"/>
        <v/>
      </c>
      <c r="O37" t="str">
        <f ca="1">INDEX(T_L1[],G37)</f>
        <v>Cashew Butter,</v>
      </c>
      <c r="P37" t="str">
        <f ca="1">INDEX(T_L2[],H37)</f>
        <v>Flax Seeds</v>
      </c>
      <c r="Q37" t="e">
        <f ca="1">INDEX(T_L3[],I37)</f>
        <v>#VALUE!</v>
      </c>
      <c r="R37" t="e">
        <f ca="1">INDEX(T_L4[],J37)</f>
        <v>#VALUE!</v>
      </c>
      <c r="S37" t="e">
        <f ca="1">INDEX(T_L5[],K37)</f>
        <v>#VALUE!</v>
      </c>
      <c r="T37" t="e">
        <f ca="1">INDEX(T_L6[],L37)</f>
        <v>#VALUE!</v>
      </c>
    </row>
    <row r="38" spans="6:20" x14ac:dyDescent="0.2">
      <c r="F38">
        <v>36</v>
      </c>
      <c r="G38" s="3">
        <f t="shared" ca="1" si="0"/>
        <v>3</v>
      </c>
      <c r="H38" s="3">
        <f t="shared" ca="1" si="1"/>
        <v>6</v>
      </c>
      <c r="I38" t="str">
        <f t="shared" ca="1" si="2"/>
        <v/>
      </c>
      <c r="J38" t="str">
        <f t="shared" ca="1" si="3"/>
        <v/>
      </c>
      <c r="K38" t="str">
        <f t="shared" ca="1" si="4"/>
        <v/>
      </c>
      <c r="L38" t="str">
        <f t="shared" ca="1" si="5"/>
        <v/>
      </c>
      <c r="O38" t="str">
        <f ca="1">INDEX(T_L1[],G38)</f>
        <v>Cashew Butter,</v>
      </c>
      <c r="P38" t="str">
        <f ca="1">INDEX(T_L2[],H38)</f>
        <v>Hemp Seeds</v>
      </c>
      <c r="Q38" t="e">
        <f ca="1">INDEX(T_L3[],I38)</f>
        <v>#VALUE!</v>
      </c>
      <c r="R38" t="e">
        <f ca="1">INDEX(T_L4[],J38)</f>
        <v>#VALUE!</v>
      </c>
      <c r="S38" t="e">
        <f ca="1">INDEX(T_L5[],K38)</f>
        <v>#VALUE!</v>
      </c>
      <c r="T38" t="e">
        <f ca="1">INDEX(T_L6[],L38)</f>
        <v>#VALUE!</v>
      </c>
    </row>
    <row r="39" spans="6:20" x14ac:dyDescent="0.2">
      <c r="F39">
        <v>37</v>
      </c>
      <c r="G39" s="3">
        <f t="shared" ca="1" si="0"/>
        <v>3</v>
      </c>
      <c r="H39" s="3">
        <f t="shared" ca="1" si="1"/>
        <v>7</v>
      </c>
      <c r="I39" t="str">
        <f t="shared" ca="1" si="2"/>
        <v/>
      </c>
      <c r="J39" t="str">
        <f t="shared" ca="1" si="3"/>
        <v/>
      </c>
      <c r="K39" t="str">
        <f t="shared" ca="1" si="4"/>
        <v/>
      </c>
      <c r="L39" t="str">
        <f t="shared" ca="1" si="5"/>
        <v/>
      </c>
      <c r="O39" t="str">
        <f ca="1">INDEX(T_L1[],G39)</f>
        <v>Cashew Butter,</v>
      </c>
      <c r="P39" t="str">
        <f ca="1">INDEX(T_L2[],H39)</f>
        <v>Avocado</v>
      </c>
      <c r="Q39" t="e">
        <f ca="1">INDEX(T_L3[],I39)</f>
        <v>#VALUE!</v>
      </c>
      <c r="R39" t="e">
        <f ca="1">INDEX(T_L4[],J39)</f>
        <v>#VALUE!</v>
      </c>
      <c r="S39" t="e">
        <f ca="1">INDEX(T_L5[],K39)</f>
        <v>#VALUE!</v>
      </c>
      <c r="T39" t="e">
        <f ca="1">INDEX(T_L6[],L39)</f>
        <v>#VALUE!</v>
      </c>
    </row>
    <row r="40" spans="6:20" x14ac:dyDescent="0.2">
      <c r="F40">
        <v>38</v>
      </c>
      <c r="G40" s="3">
        <f t="shared" ca="1" si="0"/>
        <v>3</v>
      </c>
      <c r="H40" s="3">
        <f t="shared" ca="1" si="1"/>
        <v>8</v>
      </c>
      <c r="I40" t="str">
        <f t="shared" ca="1" si="2"/>
        <v/>
      </c>
      <c r="J40" t="str">
        <f t="shared" ca="1" si="3"/>
        <v/>
      </c>
      <c r="K40" t="str">
        <f t="shared" ca="1" si="4"/>
        <v/>
      </c>
      <c r="L40" t="str">
        <f t="shared" ca="1" si="5"/>
        <v/>
      </c>
      <c r="O40" t="str">
        <f ca="1">INDEX(T_L1[],G40)</f>
        <v>Cashew Butter,</v>
      </c>
      <c r="P40" t="str">
        <f ca="1">INDEX(T_L2[],H40)</f>
        <v>Coconut Oil</v>
      </c>
      <c r="Q40" t="e">
        <f ca="1">INDEX(T_L3[],I40)</f>
        <v>#VALUE!</v>
      </c>
      <c r="R40" t="e">
        <f ca="1">INDEX(T_L4[],J40)</f>
        <v>#VALUE!</v>
      </c>
      <c r="S40" t="e">
        <f ca="1">INDEX(T_L5[],K40)</f>
        <v>#VALUE!</v>
      </c>
      <c r="T40" t="e">
        <f ca="1">INDEX(T_L6[],L40)</f>
        <v>#VALUE!</v>
      </c>
    </row>
    <row r="41" spans="6:20" x14ac:dyDescent="0.2">
      <c r="F41">
        <v>39</v>
      </c>
      <c r="G41" s="3">
        <f t="shared" ca="1" si="0"/>
        <v>3</v>
      </c>
      <c r="H41" s="3">
        <f t="shared" ca="1" si="1"/>
        <v>9</v>
      </c>
      <c r="I41" t="str">
        <f t="shared" ca="1" si="2"/>
        <v/>
      </c>
      <c r="J41" t="str">
        <f t="shared" ca="1" si="3"/>
        <v/>
      </c>
      <c r="K41" t="str">
        <f t="shared" ca="1" si="4"/>
        <v/>
      </c>
      <c r="L41" t="str">
        <f t="shared" ca="1" si="5"/>
        <v/>
      </c>
      <c r="O41" t="str">
        <f ca="1">INDEX(T_L1[],G41)</f>
        <v>Cashew Butter,</v>
      </c>
      <c r="P41" t="str">
        <f ca="1">INDEX(T_L2[],H41)</f>
        <v>MCT Oil</v>
      </c>
      <c r="Q41" t="e">
        <f ca="1">INDEX(T_L3[],I41)</f>
        <v>#VALUE!</v>
      </c>
      <c r="R41" t="e">
        <f ca="1">INDEX(T_L4[],J41)</f>
        <v>#VALUE!</v>
      </c>
      <c r="S41" t="e">
        <f ca="1">INDEX(T_L5[],K41)</f>
        <v>#VALUE!</v>
      </c>
      <c r="T41" t="e">
        <f ca="1">INDEX(T_L6[],L41)</f>
        <v>#VALUE!</v>
      </c>
    </row>
    <row r="42" spans="6:20" x14ac:dyDescent="0.2">
      <c r="F42">
        <v>40</v>
      </c>
      <c r="G42" s="3">
        <f t="shared" ca="1" si="0"/>
        <v>3</v>
      </c>
      <c r="H42" s="3">
        <f t="shared" ca="1" si="1"/>
        <v>10</v>
      </c>
      <c r="I42" t="str">
        <f t="shared" ca="1" si="2"/>
        <v/>
      </c>
      <c r="J42" t="str">
        <f t="shared" ca="1" si="3"/>
        <v/>
      </c>
      <c r="K42" t="str">
        <f t="shared" ca="1" si="4"/>
        <v/>
      </c>
      <c r="L42" t="str">
        <f t="shared" ca="1" si="5"/>
        <v/>
      </c>
      <c r="O42" t="str">
        <f ca="1">INDEX(T_L1[],G42)</f>
        <v>Cashew Butter,</v>
      </c>
      <c r="P42" t="str">
        <f ca="1">INDEX(T_L2[],H42)</f>
        <v>Walnuts</v>
      </c>
      <c r="Q42" t="e">
        <f ca="1">INDEX(T_L3[],I42)</f>
        <v>#VALUE!</v>
      </c>
      <c r="R42" t="e">
        <f ca="1">INDEX(T_L4[],J42)</f>
        <v>#VALUE!</v>
      </c>
      <c r="S42" t="e">
        <f ca="1">INDEX(T_L5[],K42)</f>
        <v>#VALUE!</v>
      </c>
      <c r="T42" t="e">
        <f ca="1">INDEX(T_L6[],L42)</f>
        <v>#VALUE!</v>
      </c>
    </row>
    <row r="43" spans="6:20" x14ac:dyDescent="0.2">
      <c r="F43">
        <v>41</v>
      </c>
      <c r="G43" s="3">
        <f t="shared" ca="1" si="0"/>
        <v>3</v>
      </c>
      <c r="H43" s="3">
        <f t="shared" ca="1" si="1"/>
        <v>11</v>
      </c>
      <c r="I43" t="str">
        <f t="shared" ca="1" si="2"/>
        <v/>
      </c>
      <c r="J43" t="str">
        <f t="shared" ca="1" si="3"/>
        <v/>
      </c>
      <c r="K43" t="str">
        <f t="shared" ca="1" si="4"/>
        <v/>
      </c>
      <c r="L43" t="str">
        <f t="shared" ca="1" si="5"/>
        <v/>
      </c>
      <c r="O43" t="str">
        <f ca="1">INDEX(T_L1[],G43)</f>
        <v>Cashew Butter,</v>
      </c>
      <c r="P43" t="str">
        <f ca="1">INDEX(T_L2[],H43)</f>
        <v>Pecans</v>
      </c>
      <c r="Q43" t="e">
        <f ca="1">INDEX(T_L3[],I43)</f>
        <v>#VALUE!</v>
      </c>
      <c r="R43" t="e">
        <f ca="1">INDEX(T_L4[],J43)</f>
        <v>#VALUE!</v>
      </c>
      <c r="S43" t="e">
        <f ca="1">INDEX(T_L5[],K43)</f>
        <v>#VALUE!</v>
      </c>
      <c r="T43" t="e">
        <f ca="1">INDEX(T_L6[],L43)</f>
        <v>#VALUE!</v>
      </c>
    </row>
    <row r="44" spans="6:20" x14ac:dyDescent="0.2">
      <c r="F44">
        <v>42</v>
      </c>
      <c r="G44" s="3">
        <f t="shared" ca="1" si="0"/>
        <v>3</v>
      </c>
      <c r="H44" s="3">
        <f t="shared" ca="1" si="1"/>
        <v>12</v>
      </c>
      <c r="I44" t="str">
        <f t="shared" ca="1" si="2"/>
        <v/>
      </c>
      <c r="J44" t="str">
        <f t="shared" ca="1" si="3"/>
        <v/>
      </c>
      <c r="K44" t="str">
        <f t="shared" ca="1" si="4"/>
        <v/>
      </c>
      <c r="L44" t="str">
        <f t="shared" ca="1" si="5"/>
        <v/>
      </c>
      <c r="O44" t="str">
        <f ca="1">INDEX(T_L1[],G44)</f>
        <v>Cashew Butter,</v>
      </c>
      <c r="P44" t="str">
        <f ca="1">INDEX(T_L2[],H44)</f>
        <v>Macadamia Nuts</v>
      </c>
      <c r="Q44" t="e">
        <f ca="1">INDEX(T_L3[],I44)</f>
        <v>#VALUE!</v>
      </c>
      <c r="R44" t="e">
        <f ca="1">INDEX(T_L4[],J44)</f>
        <v>#VALUE!</v>
      </c>
      <c r="S44" t="e">
        <f ca="1">INDEX(T_L5[],K44)</f>
        <v>#VALUE!</v>
      </c>
      <c r="T44" t="e">
        <f ca="1">INDEX(T_L6[],L44)</f>
        <v>#VALUE!</v>
      </c>
    </row>
    <row r="45" spans="6:20" x14ac:dyDescent="0.2">
      <c r="F45">
        <v>43</v>
      </c>
      <c r="G45" s="3">
        <f t="shared" ca="1" si="0"/>
        <v>3</v>
      </c>
      <c r="H45" s="3">
        <f t="shared" ca="1" si="1"/>
        <v>13</v>
      </c>
      <c r="I45" t="str">
        <f t="shared" ca="1" si="2"/>
        <v/>
      </c>
      <c r="J45" t="str">
        <f t="shared" ca="1" si="3"/>
        <v/>
      </c>
      <c r="K45" t="str">
        <f t="shared" ca="1" si="4"/>
        <v/>
      </c>
      <c r="L45" t="str">
        <f t="shared" ca="1" si="5"/>
        <v/>
      </c>
      <c r="O45" t="str">
        <f ca="1">INDEX(T_L1[],G45)</f>
        <v>Cashew Butter,</v>
      </c>
      <c r="P45" t="str">
        <f ca="1">INDEX(T_L2[],H45)</f>
        <v>Tahini</v>
      </c>
      <c r="Q45" t="e">
        <f ca="1">INDEX(T_L3[],I45)</f>
        <v>#VALUE!</v>
      </c>
      <c r="R45" t="e">
        <f ca="1">INDEX(T_L4[],J45)</f>
        <v>#VALUE!</v>
      </c>
      <c r="S45" t="e">
        <f ca="1">INDEX(T_L5[],K45)</f>
        <v>#VALUE!</v>
      </c>
      <c r="T45" t="e">
        <f ca="1">INDEX(T_L6[],L45)</f>
        <v>#VALUE!</v>
      </c>
    </row>
    <row r="46" spans="6:20" x14ac:dyDescent="0.2">
      <c r="F46">
        <v>44</v>
      </c>
      <c r="G46" s="3">
        <f t="shared" ca="1" si="0"/>
        <v>3</v>
      </c>
      <c r="H46" s="3">
        <f t="shared" ca="1" si="1"/>
        <v>14</v>
      </c>
      <c r="I46" t="str">
        <f t="shared" ca="1" si="2"/>
        <v/>
      </c>
      <c r="J46" t="str">
        <f t="shared" ca="1" si="3"/>
        <v/>
      </c>
      <c r="K46" t="str">
        <f t="shared" ca="1" si="4"/>
        <v/>
      </c>
      <c r="L46" t="str">
        <f t="shared" ca="1" si="5"/>
        <v/>
      </c>
      <c r="O46" t="str">
        <f ca="1">INDEX(T_L1[],G46)</f>
        <v>Cashew Butter,</v>
      </c>
      <c r="P46" t="str">
        <f ca="1">INDEX(T_L2[],H46)</f>
        <v>Dark Chocolate</v>
      </c>
      <c r="Q46" t="e">
        <f ca="1">INDEX(T_L3[],I46)</f>
        <v>#VALUE!</v>
      </c>
      <c r="R46" t="e">
        <f ca="1">INDEX(T_L4[],J46)</f>
        <v>#VALUE!</v>
      </c>
      <c r="S46" t="e">
        <f ca="1">INDEX(T_L5[],K46)</f>
        <v>#VALUE!</v>
      </c>
      <c r="T46" t="e">
        <f ca="1">INDEX(T_L6[],L46)</f>
        <v>#VALUE!</v>
      </c>
    </row>
    <row r="47" spans="6:20" x14ac:dyDescent="0.2">
      <c r="F47">
        <v>45</v>
      </c>
      <c r="G47" s="3">
        <f t="shared" ca="1" si="0"/>
        <v>3</v>
      </c>
      <c r="H47" s="3">
        <f t="shared" ca="1" si="1"/>
        <v>15</v>
      </c>
      <c r="I47" t="str">
        <f t="shared" ca="1" si="2"/>
        <v/>
      </c>
      <c r="J47" t="str">
        <f t="shared" ca="1" si="3"/>
        <v/>
      </c>
      <c r="K47" t="str">
        <f t="shared" ca="1" si="4"/>
        <v/>
      </c>
      <c r="L47" t="str">
        <f t="shared" ca="1" si="5"/>
        <v/>
      </c>
      <c r="O47" t="str">
        <f ca="1">INDEX(T_L1[],G47)</f>
        <v>Cashew Butter,</v>
      </c>
      <c r="P47" t="str">
        <f ca="1">INDEX(T_L2[],H47)</f>
        <v>-</v>
      </c>
      <c r="Q47" t="e">
        <f ca="1">INDEX(T_L3[],I47)</f>
        <v>#VALUE!</v>
      </c>
      <c r="R47" t="e">
        <f ca="1">INDEX(T_L4[],J47)</f>
        <v>#VALUE!</v>
      </c>
      <c r="S47" t="e">
        <f ca="1">INDEX(T_L5[],K47)</f>
        <v>#VALUE!</v>
      </c>
      <c r="T47" t="e">
        <f ca="1">INDEX(T_L6[],L47)</f>
        <v>#VALUE!</v>
      </c>
    </row>
    <row r="48" spans="6:20" x14ac:dyDescent="0.2">
      <c r="F48">
        <v>46</v>
      </c>
      <c r="G48" s="3">
        <f t="shared" ca="1" si="0"/>
        <v>4</v>
      </c>
      <c r="H48" s="3">
        <f t="shared" ca="1" si="1"/>
        <v>1</v>
      </c>
      <c r="I48" t="str">
        <f t="shared" ca="1" si="2"/>
        <v/>
      </c>
      <c r="J48" t="str">
        <f t="shared" ca="1" si="3"/>
        <v/>
      </c>
      <c r="K48" t="str">
        <f t="shared" ca="1" si="4"/>
        <v/>
      </c>
      <c r="L48" t="str">
        <f t="shared" ca="1" si="5"/>
        <v/>
      </c>
      <c r="O48" t="str">
        <f ca="1">INDEX(T_L1[],G48)</f>
        <v>Chia Seeds,</v>
      </c>
      <c r="P48" t="str">
        <f ca="1">INDEX(T_L2[],H48)</f>
        <v>Peanut Butter</v>
      </c>
      <c r="Q48" t="e">
        <f ca="1">INDEX(T_L3[],I48)</f>
        <v>#VALUE!</v>
      </c>
      <c r="R48" t="e">
        <f ca="1">INDEX(T_L4[],J48)</f>
        <v>#VALUE!</v>
      </c>
      <c r="S48" t="e">
        <f ca="1">INDEX(T_L5[],K48)</f>
        <v>#VALUE!</v>
      </c>
      <c r="T48" t="e">
        <f ca="1">INDEX(T_L6[],L48)</f>
        <v>#VALUE!</v>
      </c>
    </row>
    <row r="49" spans="6:20" x14ac:dyDescent="0.2">
      <c r="F49">
        <v>47</v>
      </c>
      <c r="G49" s="3">
        <f t="shared" ca="1" si="0"/>
        <v>4</v>
      </c>
      <c r="H49" s="3">
        <f t="shared" ca="1" si="1"/>
        <v>2</v>
      </c>
      <c r="I49" t="str">
        <f t="shared" ca="1" si="2"/>
        <v/>
      </c>
      <c r="J49" t="str">
        <f t="shared" ca="1" si="3"/>
        <v/>
      </c>
      <c r="K49" t="str">
        <f t="shared" ca="1" si="4"/>
        <v/>
      </c>
      <c r="L49" t="str">
        <f t="shared" ca="1" si="5"/>
        <v/>
      </c>
      <c r="O49" t="str">
        <f ca="1">INDEX(T_L1[],G49)</f>
        <v>Chia Seeds,</v>
      </c>
      <c r="P49" t="str">
        <f ca="1">INDEX(T_L2[],H49)</f>
        <v>Almond Butter</v>
      </c>
      <c r="Q49" t="e">
        <f ca="1">INDEX(T_L3[],I49)</f>
        <v>#VALUE!</v>
      </c>
      <c r="R49" t="e">
        <f ca="1">INDEX(T_L4[],J49)</f>
        <v>#VALUE!</v>
      </c>
      <c r="S49" t="e">
        <f ca="1">INDEX(T_L5[],K49)</f>
        <v>#VALUE!</v>
      </c>
      <c r="T49" t="e">
        <f ca="1">INDEX(T_L6[],L49)</f>
        <v>#VALUE!</v>
      </c>
    </row>
    <row r="50" spans="6:20" x14ac:dyDescent="0.2">
      <c r="F50">
        <v>48</v>
      </c>
      <c r="G50" s="3">
        <f t="shared" ca="1" si="0"/>
        <v>4</v>
      </c>
      <c r="H50" s="3">
        <f t="shared" ca="1" si="1"/>
        <v>3</v>
      </c>
      <c r="I50" t="str">
        <f t="shared" ca="1" si="2"/>
        <v/>
      </c>
      <c r="J50" t="str">
        <f t="shared" ca="1" si="3"/>
        <v/>
      </c>
      <c r="K50" t="str">
        <f t="shared" ca="1" si="4"/>
        <v/>
      </c>
      <c r="L50" t="str">
        <f t="shared" ca="1" si="5"/>
        <v/>
      </c>
      <c r="O50" t="str">
        <f ca="1">INDEX(T_L1[],G50)</f>
        <v>Chia Seeds,</v>
      </c>
      <c r="P50" t="str">
        <f ca="1">INDEX(T_L2[],H50)</f>
        <v>Cashew Butter</v>
      </c>
      <c r="Q50" t="e">
        <f ca="1">INDEX(T_L3[],I50)</f>
        <v>#VALUE!</v>
      </c>
      <c r="R50" t="e">
        <f ca="1">INDEX(T_L4[],J50)</f>
        <v>#VALUE!</v>
      </c>
      <c r="S50" t="e">
        <f ca="1">INDEX(T_L5[],K50)</f>
        <v>#VALUE!</v>
      </c>
      <c r="T50" t="e">
        <f ca="1">INDEX(T_L6[],L50)</f>
        <v>#VALUE!</v>
      </c>
    </row>
    <row r="51" spans="6:20" x14ac:dyDescent="0.2">
      <c r="F51">
        <v>49</v>
      </c>
      <c r="G51" s="3">
        <f t="shared" ca="1" si="0"/>
        <v>4</v>
      </c>
      <c r="H51" s="3">
        <f t="shared" ca="1" si="1"/>
        <v>4</v>
      </c>
      <c r="I51" t="str">
        <f t="shared" ca="1" si="2"/>
        <v/>
      </c>
      <c r="J51" t="str">
        <f t="shared" ca="1" si="3"/>
        <v/>
      </c>
      <c r="K51" t="str">
        <f t="shared" ca="1" si="4"/>
        <v/>
      </c>
      <c r="L51" t="str">
        <f t="shared" ca="1" si="5"/>
        <v/>
      </c>
      <c r="O51" t="str">
        <f ca="1">INDEX(T_L1[],G51)</f>
        <v>Chia Seeds,</v>
      </c>
      <c r="P51" t="str">
        <f ca="1">INDEX(T_L2[],H51)</f>
        <v>Chia Seeds</v>
      </c>
      <c r="Q51" t="e">
        <f ca="1">INDEX(T_L3[],I51)</f>
        <v>#VALUE!</v>
      </c>
      <c r="R51" t="e">
        <f ca="1">INDEX(T_L4[],J51)</f>
        <v>#VALUE!</v>
      </c>
      <c r="S51" t="e">
        <f ca="1">INDEX(T_L5[],K51)</f>
        <v>#VALUE!</v>
      </c>
      <c r="T51" t="e">
        <f ca="1">INDEX(T_L6[],L51)</f>
        <v>#VALUE!</v>
      </c>
    </row>
    <row r="52" spans="6:20" x14ac:dyDescent="0.2">
      <c r="F52">
        <v>50</v>
      </c>
      <c r="G52" s="3">
        <f t="shared" ca="1" si="0"/>
        <v>4</v>
      </c>
      <c r="H52" s="3">
        <f t="shared" ca="1" si="1"/>
        <v>5</v>
      </c>
      <c r="I52" t="str">
        <f t="shared" ca="1" si="2"/>
        <v/>
      </c>
      <c r="J52" t="str">
        <f t="shared" ca="1" si="3"/>
        <v/>
      </c>
      <c r="K52" t="str">
        <f t="shared" ca="1" si="4"/>
        <v/>
      </c>
      <c r="L52" t="str">
        <f t="shared" ca="1" si="5"/>
        <v/>
      </c>
      <c r="O52" t="str">
        <f ca="1">INDEX(T_L1[],G52)</f>
        <v>Chia Seeds,</v>
      </c>
      <c r="P52" t="str">
        <f ca="1">INDEX(T_L2[],H52)</f>
        <v>Flax Seeds</v>
      </c>
      <c r="Q52" t="e">
        <f ca="1">INDEX(T_L3[],I52)</f>
        <v>#VALUE!</v>
      </c>
      <c r="R52" t="e">
        <f ca="1">INDEX(T_L4[],J52)</f>
        <v>#VALUE!</v>
      </c>
      <c r="S52" t="e">
        <f ca="1">INDEX(T_L5[],K52)</f>
        <v>#VALUE!</v>
      </c>
      <c r="T52" t="e">
        <f ca="1">INDEX(T_L6[],L52)</f>
        <v>#VALUE!</v>
      </c>
    </row>
    <row r="53" spans="6:20" x14ac:dyDescent="0.2">
      <c r="F53">
        <v>51</v>
      </c>
      <c r="G53" s="3">
        <f t="shared" ca="1" si="0"/>
        <v>4</v>
      </c>
      <c r="H53" s="3">
        <f t="shared" ca="1" si="1"/>
        <v>6</v>
      </c>
      <c r="I53" t="str">
        <f t="shared" ca="1" si="2"/>
        <v/>
      </c>
      <c r="J53" t="str">
        <f t="shared" ca="1" si="3"/>
        <v/>
      </c>
      <c r="K53" t="str">
        <f t="shared" ca="1" si="4"/>
        <v/>
      </c>
      <c r="L53" t="str">
        <f t="shared" ca="1" si="5"/>
        <v/>
      </c>
      <c r="O53" t="str">
        <f ca="1">INDEX(T_L1[],G53)</f>
        <v>Chia Seeds,</v>
      </c>
      <c r="P53" t="str">
        <f ca="1">INDEX(T_L2[],H53)</f>
        <v>Hemp Seeds</v>
      </c>
      <c r="Q53" t="e">
        <f ca="1">INDEX(T_L3[],I53)</f>
        <v>#VALUE!</v>
      </c>
      <c r="R53" t="e">
        <f ca="1">INDEX(T_L4[],J53)</f>
        <v>#VALUE!</v>
      </c>
      <c r="S53" t="e">
        <f ca="1">INDEX(T_L5[],K53)</f>
        <v>#VALUE!</v>
      </c>
      <c r="T53" t="e">
        <f ca="1">INDEX(T_L6[],L53)</f>
        <v>#VALUE!</v>
      </c>
    </row>
    <row r="54" spans="6:20" x14ac:dyDescent="0.2">
      <c r="F54">
        <v>52</v>
      </c>
      <c r="G54" s="3">
        <f t="shared" ca="1" si="0"/>
        <v>4</v>
      </c>
      <c r="H54" s="3">
        <f t="shared" ca="1" si="1"/>
        <v>7</v>
      </c>
      <c r="I54" t="str">
        <f t="shared" ca="1" si="2"/>
        <v/>
      </c>
      <c r="J54" t="str">
        <f t="shared" ca="1" si="3"/>
        <v/>
      </c>
      <c r="K54" t="str">
        <f t="shared" ca="1" si="4"/>
        <v/>
      </c>
      <c r="L54" t="str">
        <f t="shared" ca="1" si="5"/>
        <v/>
      </c>
      <c r="O54" t="str">
        <f ca="1">INDEX(T_L1[],G54)</f>
        <v>Chia Seeds,</v>
      </c>
      <c r="P54" t="str">
        <f ca="1">INDEX(T_L2[],H54)</f>
        <v>Avocado</v>
      </c>
      <c r="Q54" t="e">
        <f ca="1">INDEX(T_L3[],I54)</f>
        <v>#VALUE!</v>
      </c>
      <c r="R54" t="e">
        <f ca="1">INDEX(T_L4[],J54)</f>
        <v>#VALUE!</v>
      </c>
      <c r="S54" t="e">
        <f ca="1">INDEX(T_L5[],K54)</f>
        <v>#VALUE!</v>
      </c>
      <c r="T54" t="e">
        <f ca="1">INDEX(T_L6[],L54)</f>
        <v>#VALUE!</v>
      </c>
    </row>
    <row r="55" spans="6:20" x14ac:dyDescent="0.2">
      <c r="F55">
        <v>53</v>
      </c>
      <c r="G55" s="3">
        <f t="shared" ca="1" si="0"/>
        <v>4</v>
      </c>
      <c r="H55" s="3">
        <f t="shared" ca="1" si="1"/>
        <v>8</v>
      </c>
      <c r="I55" t="str">
        <f t="shared" ca="1" si="2"/>
        <v/>
      </c>
      <c r="J55" t="str">
        <f t="shared" ca="1" si="3"/>
        <v/>
      </c>
      <c r="K55" t="str">
        <f t="shared" ca="1" si="4"/>
        <v/>
      </c>
      <c r="L55" t="str">
        <f t="shared" ca="1" si="5"/>
        <v/>
      </c>
      <c r="O55" t="str">
        <f ca="1">INDEX(T_L1[],G55)</f>
        <v>Chia Seeds,</v>
      </c>
      <c r="P55" t="str">
        <f ca="1">INDEX(T_L2[],H55)</f>
        <v>Coconut Oil</v>
      </c>
      <c r="Q55" t="e">
        <f ca="1">INDEX(T_L3[],I55)</f>
        <v>#VALUE!</v>
      </c>
      <c r="R55" t="e">
        <f ca="1">INDEX(T_L4[],J55)</f>
        <v>#VALUE!</v>
      </c>
      <c r="S55" t="e">
        <f ca="1">INDEX(T_L5[],K55)</f>
        <v>#VALUE!</v>
      </c>
      <c r="T55" t="e">
        <f ca="1">INDEX(T_L6[],L55)</f>
        <v>#VALUE!</v>
      </c>
    </row>
    <row r="56" spans="6:20" x14ac:dyDescent="0.2">
      <c r="F56">
        <v>54</v>
      </c>
      <c r="G56" s="3">
        <f t="shared" ca="1" si="0"/>
        <v>4</v>
      </c>
      <c r="H56" s="3">
        <f t="shared" ca="1" si="1"/>
        <v>9</v>
      </c>
      <c r="I56" t="str">
        <f t="shared" ca="1" si="2"/>
        <v/>
      </c>
      <c r="J56" t="str">
        <f t="shared" ca="1" si="3"/>
        <v/>
      </c>
      <c r="K56" t="str">
        <f t="shared" ca="1" si="4"/>
        <v/>
      </c>
      <c r="L56" t="str">
        <f t="shared" ca="1" si="5"/>
        <v/>
      </c>
      <c r="O56" t="str">
        <f ca="1">INDEX(T_L1[],G56)</f>
        <v>Chia Seeds,</v>
      </c>
      <c r="P56" t="str">
        <f ca="1">INDEX(T_L2[],H56)</f>
        <v>MCT Oil</v>
      </c>
      <c r="Q56" t="e">
        <f ca="1">INDEX(T_L3[],I56)</f>
        <v>#VALUE!</v>
      </c>
      <c r="R56" t="e">
        <f ca="1">INDEX(T_L4[],J56)</f>
        <v>#VALUE!</v>
      </c>
      <c r="S56" t="e">
        <f ca="1">INDEX(T_L5[],K56)</f>
        <v>#VALUE!</v>
      </c>
      <c r="T56" t="e">
        <f ca="1">INDEX(T_L6[],L56)</f>
        <v>#VALUE!</v>
      </c>
    </row>
    <row r="57" spans="6:20" x14ac:dyDescent="0.2">
      <c r="F57">
        <v>55</v>
      </c>
      <c r="G57" s="3">
        <f t="shared" ca="1" si="0"/>
        <v>4</v>
      </c>
      <c r="H57" s="3">
        <f t="shared" ca="1" si="1"/>
        <v>10</v>
      </c>
      <c r="I57" t="str">
        <f t="shared" ca="1" si="2"/>
        <v/>
      </c>
      <c r="J57" t="str">
        <f t="shared" ca="1" si="3"/>
        <v/>
      </c>
      <c r="K57" t="str">
        <f t="shared" ca="1" si="4"/>
        <v/>
      </c>
      <c r="L57" t="str">
        <f t="shared" ca="1" si="5"/>
        <v/>
      </c>
      <c r="O57" t="str">
        <f ca="1">INDEX(T_L1[],G57)</f>
        <v>Chia Seeds,</v>
      </c>
      <c r="P57" t="str">
        <f ca="1">INDEX(T_L2[],H57)</f>
        <v>Walnuts</v>
      </c>
      <c r="Q57" t="e">
        <f ca="1">INDEX(T_L3[],I57)</f>
        <v>#VALUE!</v>
      </c>
      <c r="R57" t="e">
        <f ca="1">INDEX(T_L4[],J57)</f>
        <v>#VALUE!</v>
      </c>
      <c r="S57" t="e">
        <f ca="1">INDEX(T_L5[],K57)</f>
        <v>#VALUE!</v>
      </c>
      <c r="T57" t="e">
        <f ca="1">INDEX(T_L6[],L57)</f>
        <v>#VALUE!</v>
      </c>
    </row>
    <row r="58" spans="6:20" x14ac:dyDescent="0.2">
      <c r="F58">
        <v>56</v>
      </c>
      <c r="G58" s="3">
        <f t="shared" ca="1" si="0"/>
        <v>4</v>
      </c>
      <c r="H58" s="3">
        <f t="shared" ca="1" si="1"/>
        <v>11</v>
      </c>
      <c r="I58" t="str">
        <f t="shared" ca="1" si="2"/>
        <v/>
      </c>
      <c r="J58" t="str">
        <f t="shared" ca="1" si="3"/>
        <v/>
      </c>
      <c r="K58" t="str">
        <f t="shared" ca="1" si="4"/>
        <v/>
      </c>
      <c r="L58" t="str">
        <f t="shared" ca="1" si="5"/>
        <v/>
      </c>
      <c r="O58" t="str">
        <f ca="1">INDEX(T_L1[],G58)</f>
        <v>Chia Seeds,</v>
      </c>
      <c r="P58" t="str">
        <f ca="1">INDEX(T_L2[],H58)</f>
        <v>Pecans</v>
      </c>
      <c r="Q58" t="e">
        <f ca="1">INDEX(T_L3[],I58)</f>
        <v>#VALUE!</v>
      </c>
      <c r="R58" t="e">
        <f ca="1">INDEX(T_L4[],J58)</f>
        <v>#VALUE!</v>
      </c>
      <c r="S58" t="e">
        <f ca="1">INDEX(T_L5[],K58)</f>
        <v>#VALUE!</v>
      </c>
      <c r="T58" t="e">
        <f ca="1">INDEX(T_L6[],L58)</f>
        <v>#VALUE!</v>
      </c>
    </row>
    <row r="59" spans="6:20" x14ac:dyDescent="0.2">
      <c r="F59">
        <v>57</v>
      </c>
      <c r="G59" s="3">
        <f t="shared" ca="1" si="0"/>
        <v>4</v>
      </c>
      <c r="H59" s="3">
        <f t="shared" ca="1" si="1"/>
        <v>12</v>
      </c>
      <c r="I59" t="str">
        <f t="shared" ca="1" si="2"/>
        <v/>
      </c>
      <c r="J59" t="str">
        <f t="shared" ca="1" si="3"/>
        <v/>
      </c>
      <c r="K59" t="str">
        <f t="shared" ca="1" si="4"/>
        <v/>
      </c>
      <c r="L59" t="str">
        <f t="shared" ca="1" si="5"/>
        <v/>
      </c>
      <c r="O59" t="str">
        <f ca="1">INDEX(T_L1[],G59)</f>
        <v>Chia Seeds,</v>
      </c>
      <c r="P59" t="str">
        <f ca="1">INDEX(T_L2[],H59)</f>
        <v>Macadamia Nuts</v>
      </c>
      <c r="Q59" t="e">
        <f ca="1">INDEX(T_L3[],I59)</f>
        <v>#VALUE!</v>
      </c>
      <c r="R59" t="e">
        <f ca="1">INDEX(T_L4[],J59)</f>
        <v>#VALUE!</v>
      </c>
      <c r="S59" t="e">
        <f ca="1">INDEX(T_L5[],K59)</f>
        <v>#VALUE!</v>
      </c>
      <c r="T59" t="e">
        <f ca="1">INDEX(T_L6[],L59)</f>
        <v>#VALUE!</v>
      </c>
    </row>
    <row r="60" spans="6:20" x14ac:dyDescent="0.2">
      <c r="F60">
        <v>58</v>
      </c>
      <c r="G60" s="3">
        <f t="shared" ca="1" si="0"/>
        <v>4</v>
      </c>
      <c r="H60" s="3">
        <f t="shared" ca="1" si="1"/>
        <v>13</v>
      </c>
      <c r="I60" t="str">
        <f t="shared" ca="1" si="2"/>
        <v/>
      </c>
      <c r="J60" t="str">
        <f t="shared" ca="1" si="3"/>
        <v/>
      </c>
      <c r="K60" t="str">
        <f t="shared" ca="1" si="4"/>
        <v/>
      </c>
      <c r="L60" t="str">
        <f t="shared" ca="1" si="5"/>
        <v/>
      </c>
      <c r="O60" t="str">
        <f ca="1">INDEX(T_L1[],G60)</f>
        <v>Chia Seeds,</v>
      </c>
      <c r="P60" t="str">
        <f ca="1">INDEX(T_L2[],H60)</f>
        <v>Tahini</v>
      </c>
      <c r="Q60" t="e">
        <f ca="1">INDEX(T_L3[],I60)</f>
        <v>#VALUE!</v>
      </c>
      <c r="R60" t="e">
        <f ca="1">INDEX(T_L4[],J60)</f>
        <v>#VALUE!</v>
      </c>
      <c r="S60" t="e">
        <f ca="1">INDEX(T_L5[],K60)</f>
        <v>#VALUE!</v>
      </c>
      <c r="T60" t="e">
        <f ca="1">INDEX(T_L6[],L60)</f>
        <v>#VALUE!</v>
      </c>
    </row>
    <row r="61" spans="6:20" x14ac:dyDescent="0.2">
      <c r="F61">
        <v>59</v>
      </c>
      <c r="G61" s="3">
        <f t="shared" ca="1" si="0"/>
        <v>4</v>
      </c>
      <c r="H61" s="3">
        <f t="shared" ca="1" si="1"/>
        <v>14</v>
      </c>
      <c r="I61" t="str">
        <f t="shared" ca="1" si="2"/>
        <v/>
      </c>
      <c r="J61" t="str">
        <f t="shared" ca="1" si="3"/>
        <v/>
      </c>
      <c r="K61" t="str">
        <f t="shared" ca="1" si="4"/>
        <v/>
      </c>
      <c r="L61" t="str">
        <f t="shared" ca="1" si="5"/>
        <v/>
      </c>
      <c r="O61" t="str">
        <f ca="1">INDEX(T_L1[],G61)</f>
        <v>Chia Seeds,</v>
      </c>
      <c r="P61" t="str">
        <f ca="1">INDEX(T_L2[],H61)</f>
        <v>Dark Chocolate</v>
      </c>
      <c r="Q61" t="e">
        <f ca="1">INDEX(T_L3[],I61)</f>
        <v>#VALUE!</v>
      </c>
      <c r="R61" t="e">
        <f ca="1">INDEX(T_L4[],J61)</f>
        <v>#VALUE!</v>
      </c>
      <c r="S61" t="e">
        <f ca="1">INDEX(T_L5[],K61)</f>
        <v>#VALUE!</v>
      </c>
      <c r="T61" t="e">
        <f ca="1">INDEX(T_L6[],L61)</f>
        <v>#VALUE!</v>
      </c>
    </row>
    <row r="62" spans="6:20" x14ac:dyDescent="0.2">
      <c r="F62">
        <v>60</v>
      </c>
      <c r="G62" s="3">
        <f t="shared" ca="1" si="0"/>
        <v>4</v>
      </c>
      <c r="H62" s="3">
        <f t="shared" ca="1" si="1"/>
        <v>15</v>
      </c>
      <c r="I62" t="str">
        <f t="shared" ca="1" si="2"/>
        <v/>
      </c>
      <c r="J62" t="str">
        <f t="shared" ca="1" si="3"/>
        <v/>
      </c>
      <c r="K62" t="str">
        <f t="shared" ca="1" si="4"/>
        <v/>
      </c>
      <c r="L62" t="str">
        <f t="shared" ca="1" si="5"/>
        <v/>
      </c>
      <c r="O62" t="str">
        <f ca="1">INDEX(T_L1[],G62)</f>
        <v>Chia Seeds,</v>
      </c>
      <c r="P62" t="str">
        <f ca="1">INDEX(T_L2[],H62)</f>
        <v>-</v>
      </c>
      <c r="Q62" t="e">
        <f ca="1">INDEX(T_L3[],I62)</f>
        <v>#VALUE!</v>
      </c>
      <c r="R62" t="e">
        <f ca="1">INDEX(T_L4[],J62)</f>
        <v>#VALUE!</v>
      </c>
      <c r="S62" t="e">
        <f ca="1">INDEX(T_L5[],K62)</f>
        <v>#VALUE!</v>
      </c>
      <c r="T62" t="e">
        <f ca="1">INDEX(T_L6[],L62)</f>
        <v>#VALUE!</v>
      </c>
    </row>
    <row r="63" spans="6:20" x14ac:dyDescent="0.2">
      <c r="F63">
        <v>61</v>
      </c>
      <c r="G63" s="3">
        <f t="shared" ca="1" si="0"/>
        <v>5</v>
      </c>
      <c r="H63" s="3">
        <f t="shared" ca="1" si="1"/>
        <v>1</v>
      </c>
      <c r="I63" t="str">
        <f t="shared" ca="1" si="2"/>
        <v/>
      </c>
      <c r="J63" t="str">
        <f t="shared" ca="1" si="3"/>
        <v/>
      </c>
      <c r="K63" t="str">
        <f t="shared" ca="1" si="4"/>
        <v/>
      </c>
      <c r="L63" t="str">
        <f t="shared" ca="1" si="5"/>
        <v/>
      </c>
      <c r="O63" t="str">
        <f ca="1">INDEX(T_L1[],G63)</f>
        <v>Flax Seeds,</v>
      </c>
      <c r="P63" t="str">
        <f ca="1">INDEX(T_L2[],H63)</f>
        <v>Peanut Butter</v>
      </c>
      <c r="Q63" t="e">
        <f ca="1">INDEX(T_L3[],I63)</f>
        <v>#VALUE!</v>
      </c>
      <c r="R63" t="e">
        <f ca="1">INDEX(T_L4[],J63)</f>
        <v>#VALUE!</v>
      </c>
      <c r="S63" t="e">
        <f ca="1">INDEX(T_L5[],K63)</f>
        <v>#VALUE!</v>
      </c>
      <c r="T63" t="e">
        <f ca="1">INDEX(T_L6[],L63)</f>
        <v>#VALUE!</v>
      </c>
    </row>
    <row r="64" spans="6:20" x14ac:dyDescent="0.2">
      <c r="F64">
        <v>62</v>
      </c>
      <c r="G64" s="3">
        <f t="shared" ca="1" si="0"/>
        <v>5</v>
      </c>
      <c r="H64" s="3">
        <f t="shared" ca="1" si="1"/>
        <v>2</v>
      </c>
      <c r="I64" t="str">
        <f t="shared" ca="1" si="2"/>
        <v/>
      </c>
      <c r="J64" t="str">
        <f t="shared" ca="1" si="3"/>
        <v/>
      </c>
      <c r="K64" t="str">
        <f t="shared" ca="1" si="4"/>
        <v/>
      </c>
      <c r="L64" t="str">
        <f t="shared" ca="1" si="5"/>
        <v/>
      </c>
      <c r="O64" t="str">
        <f ca="1">INDEX(T_L1[],G64)</f>
        <v>Flax Seeds,</v>
      </c>
      <c r="P64" t="str">
        <f ca="1">INDEX(T_L2[],H64)</f>
        <v>Almond Butter</v>
      </c>
      <c r="Q64" t="e">
        <f ca="1">INDEX(T_L3[],I64)</f>
        <v>#VALUE!</v>
      </c>
      <c r="R64" t="e">
        <f ca="1">INDEX(T_L4[],J64)</f>
        <v>#VALUE!</v>
      </c>
      <c r="S64" t="e">
        <f ca="1">INDEX(T_L5[],K64)</f>
        <v>#VALUE!</v>
      </c>
      <c r="T64" t="e">
        <f ca="1">INDEX(T_L6[],L64)</f>
        <v>#VALUE!</v>
      </c>
    </row>
    <row r="65" spans="6:20" x14ac:dyDescent="0.2">
      <c r="F65">
        <v>63</v>
      </c>
      <c r="G65" s="3">
        <f t="shared" ca="1" si="0"/>
        <v>5</v>
      </c>
      <c r="H65" s="3">
        <f t="shared" ca="1" si="1"/>
        <v>3</v>
      </c>
      <c r="I65" t="str">
        <f t="shared" ca="1" si="2"/>
        <v/>
      </c>
      <c r="J65" t="str">
        <f t="shared" ca="1" si="3"/>
        <v/>
      </c>
      <c r="K65" t="str">
        <f t="shared" ca="1" si="4"/>
        <v/>
      </c>
      <c r="L65" t="str">
        <f t="shared" ca="1" si="5"/>
        <v/>
      </c>
      <c r="O65" t="str">
        <f ca="1">INDEX(T_L1[],G65)</f>
        <v>Flax Seeds,</v>
      </c>
      <c r="P65" t="str">
        <f ca="1">INDEX(T_L2[],H65)</f>
        <v>Cashew Butter</v>
      </c>
      <c r="Q65" t="e">
        <f ca="1">INDEX(T_L3[],I65)</f>
        <v>#VALUE!</v>
      </c>
      <c r="R65" t="e">
        <f ca="1">INDEX(T_L4[],J65)</f>
        <v>#VALUE!</v>
      </c>
      <c r="S65" t="e">
        <f ca="1">INDEX(T_L5[],K65)</f>
        <v>#VALUE!</v>
      </c>
      <c r="T65" t="e">
        <f ca="1">INDEX(T_L6[],L65)</f>
        <v>#VALUE!</v>
      </c>
    </row>
    <row r="66" spans="6:20" x14ac:dyDescent="0.2">
      <c r="F66">
        <v>64</v>
      </c>
      <c r="G66" s="3">
        <f t="shared" ca="1" si="0"/>
        <v>5</v>
      </c>
      <c r="H66" s="3">
        <f t="shared" ca="1" si="1"/>
        <v>4</v>
      </c>
      <c r="I66" t="str">
        <f t="shared" ca="1" si="2"/>
        <v/>
      </c>
      <c r="J66" t="str">
        <f t="shared" ca="1" si="3"/>
        <v/>
      </c>
      <c r="K66" t="str">
        <f t="shared" ca="1" si="4"/>
        <v/>
      </c>
      <c r="L66" t="str">
        <f t="shared" ca="1" si="5"/>
        <v/>
      </c>
      <c r="O66" t="str">
        <f ca="1">INDEX(T_L1[],G66)</f>
        <v>Flax Seeds,</v>
      </c>
      <c r="P66" t="str">
        <f ca="1">INDEX(T_L2[],H66)</f>
        <v>Chia Seeds</v>
      </c>
      <c r="Q66" t="e">
        <f ca="1">INDEX(T_L3[],I66)</f>
        <v>#VALUE!</v>
      </c>
      <c r="R66" t="e">
        <f ca="1">INDEX(T_L4[],J66)</f>
        <v>#VALUE!</v>
      </c>
      <c r="S66" t="e">
        <f ca="1">INDEX(T_L5[],K66)</f>
        <v>#VALUE!</v>
      </c>
      <c r="T66" t="e">
        <f ca="1">INDEX(T_L6[],L66)</f>
        <v>#VALUE!</v>
      </c>
    </row>
    <row r="67" spans="6:20" x14ac:dyDescent="0.2">
      <c r="F67">
        <v>65</v>
      </c>
      <c r="G67" s="3">
        <f t="shared" ref="G67:G130" ca="1" si="7">IF(OR($F67&gt;N,G$2&gt;N_LISTS),"",QUOTIENT($F67-(QUOTIENT($F67,N)*N),N_1)
+IF(MOD($F67-(QUOTIENT($F67,N)*N),N_1)=0,0,1)
+IF(MOD($F67,N)=0,C_L1,0))</f>
        <v>5</v>
      </c>
      <c r="H67" s="3">
        <f t="shared" ref="H67:H130" ca="1" si="8">IF(OR($F67&gt;N,H$2&gt;N_LISTS),"",QUOTIENT($F67-(QUOTIENT($F67,N_1)*N_1),N_2)
+IF(MOD($F67-(QUOTIENT($F67,N_1)*N_1),N_2)=0,0,1)
+IF(MOD($F67,N_1)=0,C_L2,0))</f>
        <v>5</v>
      </c>
      <c r="I67" t="str">
        <f t="shared" ref="I67:I130" ca="1" si="9">IF(OR($F67&gt;N,I$2&gt;N_LISTS),"",QUOTIENT($F67-(QUOTIENT($F67,N_2)*N_2),N_3)
+IF(MOD($F67-(QUOTIENT($F67,N_2)*N_2),N_3)=0,0,1)
+IF(MOD($F67,N_2)=0,C_L3,0))</f>
        <v/>
      </c>
      <c r="J67" t="str">
        <f t="shared" ref="J67:J130" ca="1" si="10">IF(OR($F67&gt;N,J$2&gt;N_LISTS),"",QUOTIENT($F67-(QUOTIENT($F67,N_3)*N_3),N_4)
+IF(MOD($F67-(QUOTIENT($F67,N_3)*N_3),N_4)=0,0,1)
+IF(MOD($F67,N_3)=0,C_L4,0))</f>
        <v/>
      </c>
      <c r="K67" t="str">
        <f t="shared" ref="K67:K130" ca="1" si="11">IF(OR($F67&gt;N,K$2&gt;N_LISTS),"",QUOTIENT($F67-(QUOTIENT($F67,N_4)*N_4),N_5)
+IF(MOD($F67-(QUOTIENT($F67,N_4)*N_4),N_5)=0,0,1)
+IF(MOD($F67,N_4)=0,C_L5,0))</f>
        <v/>
      </c>
      <c r="L67" t="str">
        <f t="shared" ref="L67:L130" ca="1" si="12">IF(OR($F67&gt;N,L$2&gt;N_LISTS),"",QUOTIENT($F67-(QUOTIENT($F67,N_5)*N_5),1)
+IF(MOD($F67-(QUOTIENT($F67,N_5)*N_5),1)=0,0,1)
+IF(MOD($F67,N_5)=0,C_L6,0))</f>
        <v/>
      </c>
      <c r="O67" t="str">
        <f ca="1">INDEX(T_L1[],G67)</f>
        <v>Flax Seeds,</v>
      </c>
      <c r="P67" t="str">
        <f ca="1">INDEX(T_L2[],H67)</f>
        <v>Flax Seeds</v>
      </c>
      <c r="Q67" t="e">
        <f ca="1">INDEX(T_L3[],I67)</f>
        <v>#VALUE!</v>
      </c>
      <c r="R67" t="e">
        <f ca="1">INDEX(T_L4[],J67)</f>
        <v>#VALUE!</v>
      </c>
      <c r="S67" t="e">
        <f ca="1">INDEX(T_L5[],K67)</f>
        <v>#VALUE!</v>
      </c>
      <c r="T67" t="e">
        <f ca="1">INDEX(T_L6[],L67)</f>
        <v>#VALUE!</v>
      </c>
    </row>
    <row r="68" spans="6:20" x14ac:dyDescent="0.2">
      <c r="F68">
        <v>66</v>
      </c>
      <c r="G68" s="3">
        <f t="shared" ca="1" si="7"/>
        <v>5</v>
      </c>
      <c r="H68" s="3">
        <f t="shared" ca="1" si="8"/>
        <v>6</v>
      </c>
      <c r="I68" t="str">
        <f t="shared" ca="1" si="9"/>
        <v/>
      </c>
      <c r="J68" t="str">
        <f t="shared" ca="1" si="10"/>
        <v/>
      </c>
      <c r="K68" t="str">
        <f t="shared" ca="1" si="11"/>
        <v/>
      </c>
      <c r="L68" t="str">
        <f t="shared" ca="1" si="12"/>
        <v/>
      </c>
      <c r="O68" t="str">
        <f ca="1">INDEX(T_L1[],G68)</f>
        <v>Flax Seeds,</v>
      </c>
      <c r="P68" t="str">
        <f ca="1">INDEX(T_L2[],H68)</f>
        <v>Hemp Seeds</v>
      </c>
      <c r="Q68" t="e">
        <f ca="1">INDEX(T_L3[],I68)</f>
        <v>#VALUE!</v>
      </c>
      <c r="R68" t="e">
        <f ca="1">INDEX(T_L4[],J68)</f>
        <v>#VALUE!</v>
      </c>
      <c r="S68" t="e">
        <f ca="1">INDEX(T_L5[],K68)</f>
        <v>#VALUE!</v>
      </c>
      <c r="T68" t="e">
        <f ca="1">INDEX(T_L6[],L68)</f>
        <v>#VALUE!</v>
      </c>
    </row>
    <row r="69" spans="6:20" x14ac:dyDescent="0.2">
      <c r="F69">
        <v>67</v>
      </c>
      <c r="G69" s="3">
        <f t="shared" ca="1" si="7"/>
        <v>5</v>
      </c>
      <c r="H69" s="3">
        <f t="shared" ca="1" si="8"/>
        <v>7</v>
      </c>
      <c r="I69" t="str">
        <f t="shared" ca="1" si="9"/>
        <v/>
      </c>
      <c r="J69" t="str">
        <f t="shared" ca="1" si="10"/>
        <v/>
      </c>
      <c r="K69" t="str">
        <f t="shared" ca="1" si="11"/>
        <v/>
      </c>
      <c r="L69" t="str">
        <f t="shared" ca="1" si="12"/>
        <v/>
      </c>
      <c r="O69" t="str">
        <f ca="1">INDEX(T_L1[],G69)</f>
        <v>Flax Seeds,</v>
      </c>
      <c r="P69" t="str">
        <f ca="1">INDEX(T_L2[],H69)</f>
        <v>Avocado</v>
      </c>
      <c r="Q69" t="e">
        <f ca="1">INDEX(T_L3[],I69)</f>
        <v>#VALUE!</v>
      </c>
      <c r="R69" t="e">
        <f ca="1">INDEX(T_L4[],J69)</f>
        <v>#VALUE!</v>
      </c>
      <c r="S69" t="e">
        <f ca="1">INDEX(T_L5[],K69)</f>
        <v>#VALUE!</v>
      </c>
      <c r="T69" t="e">
        <f ca="1">INDEX(T_L6[],L69)</f>
        <v>#VALUE!</v>
      </c>
    </row>
    <row r="70" spans="6:20" x14ac:dyDescent="0.2">
      <c r="F70">
        <v>68</v>
      </c>
      <c r="G70" s="3">
        <f t="shared" ca="1" si="7"/>
        <v>5</v>
      </c>
      <c r="H70" s="3">
        <f t="shared" ca="1" si="8"/>
        <v>8</v>
      </c>
      <c r="I70" t="str">
        <f t="shared" ca="1" si="9"/>
        <v/>
      </c>
      <c r="J70" t="str">
        <f t="shared" ca="1" si="10"/>
        <v/>
      </c>
      <c r="K70" t="str">
        <f t="shared" ca="1" si="11"/>
        <v/>
      </c>
      <c r="L70" t="str">
        <f t="shared" ca="1" si="12"/>
        <v/>
      </c>
      <c r="O70" t="str">
        <f ca="1">INDEX(T_L1[],G70)</f>
        <v>Flax Seeds,</v>
      </c>
      <c r="P70" t="str">
        <f ca="1">INDEX(T_L2[],H70)</f>
        <v>Coconut Oil</v>
      </c>
      <c r="Q70" t="e">
        <f ca="1">INDEX(T_L3[],I70)</f>
        <v>#VALUE!</v>
      </c>
      <c r="R70" t="e">
        <f ca="1">INDEX(T_L4[],J70)</f>
        <v>#VALUE!</v>
      </c>
      <c r="S70" t="e">
        <f ca="1">INDEX(T_L5[],K70)</f>
        <v>#VALUE!</v>
      </c>
      <c r="T70" t="e">
        <f ca="1">INDEX(T_L6[],L70)</f>
        <v>#VALUE!</v>
      </c>
    </row>
    <row r="71" spans="6:20" x14ac:dyDescent="0.2">
      <c r="F71">
        <v>69</v>
      </c>
      <c r="G71" s="3">
        <f t="shared" ca="1" si="7"/>
        <v>5</v>
      </c>
      <c r="H71" s="3">
        <f t="shared" ca="1" si="8"/>
        <v>9</v>
      </c>
      <c r="I71" t="str">
        <f t="shared" ca="1" si="9"/>
        <v/>
      </c>
      <c r="J71" t="str">
        <f t="shared" ca="1" si="10"/>
        <v/>
      </c>
      <c r="K71" t="str">
        <f t="shared" ca="1" si="11"/>
        <v/>
      </c>
      <c r="L71" t="str">
        <f t="shared" ca="1" si="12"/>
        <v/>
      </c>
      <c r="O71" t="str">
        <f ca="1">INDEX(T_L1[],G71)</f>
        <v>Flax Seeds,</v>
      </c>
      <c r="P71" t="str">
        <f ca="1">INDEX(T_L2[],H71)</f>
        <v>MCT Oil</v>
      </c>
      <c r="Q71" t="e">
        <f ca="1">INDEX(T_L3[],I71)</f>
        <v>#VALUE!</v>
      </c>
      <c r="R71" t="e">
        <f ca="1">INDEX(T_L4[],J71)</f>
        <v>#VALUE!</v>
      </c>
      <c r="S71" t="e">
        <f ca="1">INDEX(T_L5[],K71)</f>
        <v>#VALUE!</v>
      </c>
      <c r="T71" t="e">
        <f ca="1">INDEX(T_L6[],L71)</f>
        <v>#VALUE!</v>
      </c>
    </row>
    <row r="72" spans="6:20" x14ac:dyDescent="0.2">
      <c r="F72">
        <v>70</v>
      </c>
      <c r="G72" s="3">
        <f t="shared" ca="1" si="7"/>
        <v>5</v>
      </c>
      <c r="H72" s="3">
        <f t="shared" ca="1" si="8"/>
        <v>10</v>
      </c>
      <c r="I72" t="str">
        <f t="shared" ca="1" si="9"/>
        <v/>
      </c>
      <c r="J72" t="str">
        <f t="shared" ca="1" si="10"/>
        <v/>
      </c>
      <c r="K72" t="str">
        <f t="shared" ca="1" si="11"/>
        <v/>
      </c>
      <c r="L72" t="str">
        <f t="shared" ca="1" si="12"/>
        <v/>
      </c>
      <c r="O72" t="str">
        <f ca="1">INDEX(T_L1[],G72)</f>
        <v>Flax Seeds,</v>
      </c>
      <c r="P72" t="str">
        <f ca="1">INDEX(T_L2[],H72)</f>
        <v>Walnuts</v>
      </c>
      <c r="Q72" t="e">
        <f ca="1">INDEX(T_L3[],I72)</f>
        <v>#VALUE!</v>
      </c>
      <c r="R72" t="e">
        <f ca="1">INDEX(T_L4[],J72)</f>
        <v>#VALUE!</v>
      </c>
      <c r="S72" t="e">
        <f ca="1">INDEX(T_L5[],K72)</f>
        <v>#VALUE!</v>
      </c>
      <c r="T72" t="e">
        <f ca="1">INDEX(T_L6[],L72)</f>
        <v>#VALUE!</v>
      </c>
    </row>
    <row r="73" spans="6:20" x14ac:dyDescent="0.2">
      <c r="F73">
        <v>71</v>
      </c>
      <c r="G73" s="3">
        <f t="shared" ca="1" si="7"/>
        <v>5</v>
      </c>
      <c r="H73" s="3">
        <f t="shared" ca="1" si="8"/>
        <v>11</v>
      </c>
      <c r="I73" t="str">
        <f t="shared" ca="1" si="9"/>
        <v/>
      </c>
      <c r="J73" t="str">
        <f t="shared" ca="1" si="10"/>
        <v/>
      </c>
      <c r="K73" t="str">
        <f t="shared" ca="1" si="11"/>
        <v/>
      </c>
      <c r="L73" t="str">
        <f t="shared" ca="1" si="12"/>
        <v/>
      </c>
      <c r="O73" t="str">
        <f ca="1">INDEX(T_L1[],G73)</f>
        <v>Flax Seeds,</v>
      </c>
      <c r="P73" t="str">
        <f ca="1">INDEX(T_L2[],H73)</f>
        <v>Pecans</v>
      </c>
      <c r="Q73" t="e">
        <f ca="1">INDEX(T_L3[],I73)</f>
        <v>#VALUE!</v>
      </c>
      <c r="R73" t="e">
        <f ca="1">INDEX(T_L4[],J73)</f>
        <v>#VALUE!</v>
      </c>
      <c r="S73" t="e">
        <f ca="1">INDEX(T_L5[],K73)</f>
        <v>#VALUE!</v>
      </c>
      <c r="T73" t="e">
        <f ca="1">INDEX(T_L6[],L73)</f>
        <v>#VALUE!</v>
      </c>
    </row>
    <row r="74" spans="6:20" x14ac:dyDescent="0.2">
      <c r="F74">
        <v>72</v>
      </c>
      <c r="G74" s="3">
        <f t="shared" ca="1" si="7"/>
        <v>5</v>
      </c>
      <c r="H74" s="3">
        <f t="shared" ca="1" si="8"/>
        <v>12</v>
      </c>
      <c r="I74" t="str">
        <f t="shared" ca="1" si="9"/>
        <v/>
      </c>
      <c r="J74" t="str">
        <f t="shared" ca="1" si="10"/>
        <v/>
      </c>
      <c r="K74" t="str">
        <f t="shared" ca="1" si="11"/>
        <v/>
      </c>
      <c r="L74" t="str">
        <f t="shared" ca="1" si="12"/>
        <v/>
      </c>
      <c r="O74" t="str">
        <f ca="1">INDEX(T_L1[],G74)</f>
        <v>Flax Seeds,</v>
      </c>
      <c r="P74" t="str">
        <f ca="1">INDEX(T_L2[],H74)</f>
        <v>Macadamia Nuts</v>
      </c>
      <c r="Q74" t="e">
        <f ca="1">INDEX(T_L3[],I74)</f>
        <v>#VALUE!</v>
      </c>
      <c r="R74" t="e">
        <f ca="1">INDEX(T_L4[],J74)</f>
        <v>#VALUE!</v>
      </c>
      <c r="S74" t="e">
        <f ca="1">INDEX(T_L5[],K74)</f>
        <v>#VALUE!</v>
      </c>
      <c r="T74" t="e">
        <f ca="1">INDEX(T_L6[],L74)</f>
        <v>#VALUE!</v>
      </c>
    </row>
    <row r="75" spans="6:20" x14ac:dyDescent="0.2">
      <c r="F75">
        <v>73</v>
      </c>
      <c r="G75" s="3">
        <f t="shared" ca="1" si="7"/>
        <v>5</v>
      </c>
      <c r="H75" s="3">
        <f t="shared" ca="1" si="8"/>
        <v>13</v>
      </c>
      <c r="I75" t="str">
        <f t="shared" ca="1" si="9"/>
        <v/>
      </c>
      <c r="J75" t="str">
        <f t="shared" ca="1" si="10"/>
        <v/>
      </c>
      <c r="K75" t="str">
        <f t="shared" ca="1" si="11"/>
        <v/>
      </c>
      <c r="L75" t="str">
        <f t="shared" ca="1" si="12"/>
        <v/>
      </c>
      <c r="O75" t="str">
        <f ca="1">INDEX(T_L1[],G75)</f>
        <v>Flax Seeds,</v>
      </c>
      <c r="P75" t="str">
        <f ca="1">INDEX(T_L2[],H75)</f>
        <v>Tahini</v>
      </c>
      <c r="Q75" t="e">
        <f ca="1">INDEX(T_L3[],I75)</f>
        <v>#VALUE!</v>
      </c>
      <c r="R75" t="e">
        <f ca="1">INDEX(T_L4[],J75)</f>
        <v>#VALUE!</v>
      </c>
      <c r="S75" t="e">
        <f ca="1">INDEX(T_L5[],K75)</f>
        <v>#VALUE!</v>
      </c>
      <c r="T75" t="e">
        <f ca="1">INDEX(T_L6[],L75)</f>
        <v>#VALUE!</v>
      </c>
    </row>
    <row r="76" spans="6:20" x14ac:dyDescent="0.2">
      <c r="F76">
        <v>74</v>
      </c>
      <c r="G76" s="3">
        <f t="shared" ca="1" si="7"/>
        <v>5</v>
      </c>
      <c r="H76" s="3">
        <f t="shared" ca="1" si="8"/>
        <v>14</v>
      </c>
      <c r="I76" t="str">
        <f t="shared" ca="1" si="9"/>
        <v/>
      </c>
      <c r="J76" t="str">
        <f t="shared" ca="1" si="10"/>
        <v/>
      </c>
      <c r="K76" t="str">
        <f t="shared" ca="1" si="11"/>
        <v/>
      </c>
      <c r="L76" t="str">
        <f t="shared" ca="1" si="12"/>
        <v/>
      </c>
      <c r="O76" t="str">
        <f ca="1">INDEX(T_L1[],G76)</f>
        <v>Flax Seeds,</v>
      </c>
      <c r="P76" t="str">
        <f ca="1">INDEX(T_L2[],H76)</f>
        <v>Dark Chocolate</v>
      </c>
      <c r="Q76" t="e">
        <f ca="1">INDEX(T_L3[],I76)</f>
        <v>#VALUE!</v>
      </c>
      <c r="R76" t="e">
        <f ca="1">INDEX(T_L4[],J76)</f>
        <v>#VALUE!</v>
      </c>
      <c r="S76" t="e">
        <f ca="1">INDEX(T_L5[],K76)</f>
        <v>#VALUE!</v>
      </c>
      <c r="T76" t="e">
        <f ca="1">INDEX(T_L6[],L76)</f>
        <v>#VALUE!</v>
      </c>
    </row>
    <row r="77" spans="6:20" x14ac:dyDescent="0.2">
      <c r="F77">
        <v>75</v>
      </c>
      <c r="G77" s="3">
        <f t="shared" ca="1" si="7"/>
        <v>5</v>
      </c>
      <c r="H77" s="3">
        <f t="shared" ca="1" si="8"/>
        <v>15</v>
      </c>
      <c r="I77" t="str">
        <f t="shared" ca="1" si="9"/>
        <v/>
      </c>
      <c r="J77" t="str">
        <f t="shared" ca="1" si="10"/>
        <v/>
      </c>
      <c r="K77" t="str">
        <f t="shared" ca="1" si="11"/>
        <v/>
      </c>
      <c r="L77" t="str">
        <f t="shared" ca="1" si="12"/>
        <v/>
      </c>
      <c r="O77" t="str">
        <f ca="1">INDEX(T_L1[],G77)</f>
        <v>Flax Seeds,</v>
      </c>
      <c r="P77" t="str">
        <f ca="1">INDEX(T_L2[],H77)</f>
        <v>-</v>
      </c>
      <c r="Q77" t="e">
        <f ca="1">INDEX(T_L3[],I77)</f>
        <v>#VALUE!</v>
      </c>
      <c r="R77" t="e">
        <f ca="1">INDEX(T_L4[],J77)</f>
        <v>#VALUE!</v>
      </c>
      <c r="S77" t="e">
        <f ca="1">INDEX(T_L5[],K77)</f>
        <v>#VALUE!</v>
      </c>
      <c r="T77" t="e">
        <f ca="1">INDEX(T_L6[],L77)</f>
        <v>#VALUE!</v>
      </c>
    </row>
    <row r="78" spans="6:20" x14ac:dyDescent="0.2">
      <c r="F78">
        <v>76</v>
      </c>
      <c r="G78" s="3">
        <f t="shared" ca="1" si="7"/>
        <v>6</v>
      </c>
      <c r="H78" s="3">
        <f t="shared" ca="1" si="8"/>
        <v>1</v>
      </c>
      <c r="I78" t="str">
        <f t="shared" ca="1" si="9"/>
        <v/>
      </c>
      <c r="J78" t="str">
        <f t="shared" ca="1" si="10"/>
        <v/>
      </c>
      <c r="K78" t="str">
        <f t="shared" ca="1" si="11"/>
        <v/>
      </c>
      <c r="L78" t="str">
        <f t="shared" ca="1" si="12"/>
        <v/>
      </c>
      <c r="O78" t="str">
        <f ca="1">INDEX(T_L1[],G78)</f>
        <v>Hemp Seeds,</v>
      </c>
      <c r="P78" t="str">
        <f ca="1">INDEX(T_L2[],H78)</f>
        <v>Peanut Butter</v>
      </c>
      <c r="Q78" t="e">
        <f ca="1">INDEX(T_L3[],I78)</f>
        <v>#VALUE!</v>
      </c>
      <c r="R78" t="e">
        <f ca="1">INDEX(T_L4[],J78)</f>
        <v>#VALUE!</v>
      </c>
      <c r="S78" t="e">
        <f ca="1">INDEX(T_L5[],K78)</f>
        <v>#VALUE!</v>
      </c>
      <c r="T78" t="e">
        <f ca="1">INDEX(T_L6[],L78)</f>
        <v>#VALUE!</v>
      </c>
    </row>
    <row r="79" spans="6:20" x14ac:dyDescent="0.2">
      <c r="F79">
        <v>77</v>
      </c>
      <c r="G79" s="3">
        <f t="shared" ca="1" si="7"/>
        <v>6</v>
      </c>
      <c r="H79" s="3">
        <f t="shared" ca="1" si="8"/>
        <v>2</v>
      </c>
      <c r="I79" t="str">
        <f t="shared" ca="1" si="9"/>
        <v/>
      </c>
      <c r="J79" t="str">
        <f t="shared" ca="1" si="10"/>
        <v/>
      </c>
      <c r="K79" t="str">
        <f t="shared" ca="1" si="11"/>
        <v/>
      </c>
      <c r="L79" t="str">
        <f t="shared" ca="1" si="12"/>
        <v/>
      </c>
      <c r="O79" t="str">
        <f ca="1">INDEX(T_L1[],G79)</f>
        <v>Hemp Seeds,</v>
      </c>
      <c r="P79" t="str">
        <f ca="1">INDEX(T_L2[],H79)</f>
        <v>Almond Butter</v>
      </c>
      <c r="Q79" t="e">
        <f ca="1">INDEX(T_L3[],I79)</f>
        <v>#VALUE!</v>
      </c>
      <c r="R79" t="e">
        <f ca="1">INDEX(T_L4[],J79)</f>
        <v>#VALUE!</v>
      </c>
      <c r="S79" t="e">
        <f ca="1">INDEX(T_L5[],K79)</f>
        <v>#VALUE!</v>
      </c>
      <c r="T79" t="e">
        <f ca="1">INDEX(T_L6[],L79)</f>
        <v>#VALUE!</v>
      </c>
    </row>
    <row r="80" spans="6:20" x14ac:dyDescent="0.2">
      <c r="F80">
        <v>78</v>
      </c>
      <c r="G80" s="3">
        <f t="shared" ca="1" si="7"/>
        <v>6</v>
      </c>
      <c r="H80" s="3">
        <f t="shared" ca="1" si="8"/>
        <v>3</v>
      </c>
      <c r="I80" t="str">
        <f t="shared" ca="1" si="9"/>
        <v/>
      </c>
      <c r="J80" t="str">
        <f t="shared" ca="1" si="10"/>
        <v/>
      </c>
      <c r="K80" t="str">
        <f t="shared" ca="1" si="11"/>
        <v/>
      </c>
      <c r="L80" t="str">
        <f t="shared" ca="1" si="12"/>
        <v/>
      </c>
      <c r="O80" t="str">
        <f ca="1">INDEX(T_L1[],G80)</f>
        <v>Hemp Seeds,</v>
      </c>
      <c r="P80" t="str">
        <f ca="1">INDEX(T_L2[],H80)</f>
        <v>Cashew Butter</v>
      </c>
      <c r="Q80" t="e">
        <f ca="1">INDEX(T_L3[],I80)</f>
        <v>#VALUE!</v>
      </c>
      <c r="R80" t="e">
        <f ca="1">INDEX(T_L4[],J80)</f>
        <v>#VALUE!</v>
      </c>
      <c r="S80" t="e">
        <f ca="1">INDEX(T_L5[],K80)</f>
        <v>#VALUE!</v>
      </c>
      <c r="T80" t="e">
        <f ca="1">INDEX(T_L6[],L80)</f>
        <v>#VALUE!</v>
      </c>
    </row>
    <row r="81" spans="6:20" x14ac:dyDescent="0.2">
      <c r="F81">
        <v>79</v>
      </c>
      <c r="G81" s="3">
        <f t="shared" ca="1" si="7"/>
        <v>6</v>
      </c>
      <c r="H81" s="3">
        <f t="shared" ca="1" si="8"/>
        <v>4</v>
      </c>
      <c r="I81" t="str">
        <f t="shared" ca="1" si="9"/>
        <v/>
      </c>
      <c r="J81" t="str">
        <f t="shared" ca="1" si="10"/>
        <v/>
      </c>
      <c r="K81" t="str">
        <f t="shared" ca="1" si="11"/>
        <v/>
      </c>
      <c r="L81" t="str">
        <f t="shared" ca="1" si="12"/>
        <v/>
      </c>
      <c r="O81" t="str">
        <f ca="1">INDEX(T_L1[],G81)</f>
        <v>Hemp Seeds,</v>
      </c>
      <c r="P81" t="str">
        <f ca="1">INDEX(T_L2[],H81)</f>
        <v>Chia Seeds</v>
      </c>
      <c r="Q81" t="e">
        <f ca="1">INDEX(T_L3[],I81)</f>
        <v>#VALUE!</v>
      </c>
      <c r="R81" t="e">
        <f ca="1">INDEX(T_L4[],J81)</f>
        <v>#VALUE!</v>
      </c>
      <c r="S81" t="e">
        <f ca="1">INDEX(T_L5[],K81)</f>
        <v>#VALUE!</v>
      </c>
      <c r="T81" t="e">
        <f ca="1">INDEX(T_L6[],L81)</f>
        <v>#VALUE!</v>
      </c>
    </row>
    <row r="82" spans="6:20" x14ac:dyDescent="0.2">
      <c r="F82">
        <v>80</v>
      </c>
      <c r="G82" s="3">
        <f t="shared" ca="1" si="7"/>
        <v>6</v>
      </c>
      <c r="H82" s="3">
        <f t="shared" ca="1" si="8"/>
        <v>5</v>
      </c>
      <c r="I82" t="str">
        <f t="shared" ca="1" si="9"/>
        <v/>
      </c>
      <c r="J82" t="str">
        <f t="shared" ca="1" si="10"/>
        <v/>
      </c>
      <c r="K82" t="str">
        <f t="shared" ca="1" si="11"/>
        <v/>
      </c>
      <c r="L82" t="str">
        <f t="shared" ca="1" si="12"/>
        <v/>
      </c>
      <c r="O82" t="str">
        <f ca="1">INDEX(T_L1[],G82)</f>
        <v>Hemp Seeds,</v>
      </c>
      <c r="P82" t="str">
        <f ca="1">INDEX(T_L2[],H82)</f>
        <v>Flax Seeds</v>
      </c>
      <c r="Q82" t="e">
        <f ca="1">INDEX(T_L3[],I82)</f>
        <v>#VALUE!</v>
      </c>
      <c r="R82" t="e">
        <f ca="1">INDEX(T_L4[],J82)</f>
        <v>#VALUE!</v>
      </c>
      <c r="S82" t="e">
        <f ca="1">INDEX(T_L5[],K82)</f>
        <v>#VALUE!</v>
      </c>
      <c r="T82" t="e">
        <f ca="1">INDEX(T_L6[],L82)</f>
        <v>#VALUE!</v>
      </c>
    </row>
    <row r="83" spans="6:20" x14ac:dyDescent="0.2">
      <c r="F83">
        <v>81</v>
      </c>
      <c r="G83" s="3">
        <f t="shared" ca="1" si="7"/>
        <v>6</v>
      </c>
      <c r="H83" s="3">
        <f t="shared" ca="1" si="8"/>
        <v>6</v>
      </c>
      <c r="I83" t="str">
        <f t="shared" ca="1" si="9"/>
        <v/>
      </c>
      <c r="J83" t="str">
        <f t="shared" ca="1" si="10"/>
        <v/>
      </c>
      <c r="K83" t="str">
        <f t="shared" ca="1" si="11"/>
        <v/>
      </c>
      <c r="L83" t="str">
        <f t="shared" ca="1" si="12"/>
        <v/>
      </c>
      <c r="O83" t="str">
        <f ca="1">INDEX(T_L1[],G83)</f>
        <v>Hemp Seeds,</v>
      </c>
      <c r="P83" t="str">
        <f ca="1">INDEX(T_L2[],H83)</f>
        <v>Hemp Seeds</v>
      </c>
      <c r="Q83" t="e">
        <f ca="1">INDEX(T_L3[],I83)</f>
        <v>#VALUE!</v>
      </c>
      <c r="R83" t="e">
        <f ca="1">INDEX(T_L4[],J83)</f>
        <v>#VALUE!</v>
      </c>
      <c r="S83" t="e">
        <f ca="1">INDEX(T_L5[],K83)</f>
        <v>#VALUE!</v>
      </c>
      <c r="T83" t="e">
        <f ca="1">INDEX(T_L6[],L83)</f>
        <v>#VALUE!</v>
      </c>
    </row>
    <row r="84" spans="6:20" x14ac:dyDescent="0.2">
      <c r="F84">
        <v>82</v>
      </c>
      <c r="G84" s="3">
        <f t="shared" ca="1" si="7"/>
        <v>6</v>
      </c>
      <c r="H84" s="3">
        <f t="shared" ca="1" si="8"/>
        <v>7</v>
      </c>
      <c r="I84" t="str">
        <f t="shared" ca="1" si="9"/>
        <v/>
      </c>
      <c r="J84" t="str">
        <f t="shared" ca="1" si="10"/>
        <v/>
      </c>
      <c r="K84" t="str">
        <f t="shared" ca="1" si="11"/>
        <v/>
      </c>
      <c r="L84" t="str">
        <f t="shared" ca="1" si="12"/>
        <v/>
      </c>
      <c r="O84" t="str">
        <f ca="1">INDEX(T_L1[],G84)</f>
        <v>Hemp Seeds,</v>
      </c>
      <c r="P84" t="str">
        <f ca="1">INDEX(T_L2[],H84)</f>
        <v>Avocado</v>
      </c>
      <c r="Q84" t="e">
        <f ca="1">INDEX(T_L3[],I84)</f>
        <v>#VALUE!</v>
      </c>
      <c r="R84" t="e">
        <f ca="1">INDEX(T_L4[],J84)</f>
        <v>#VALUE!</v>
      </c>
      <c r="S84" t="e">
        <f ca="1">INDEX(T_L5[],K84)</f>
        <v>#VALUE!</v>
      </c>
      <c r="T84" t="e">
        <f ca="1">INDEX(T_L6[],L84)</f>
        <v>#VALUE!</v>
      </c>
    </row>
    <row r="85" spans="6:20" x14ac:dyDescent="0.2">
      <c r="F85">
        <v>83</v>
      </c>
      <c r="G85" s="3">
        <f t="shared" ca="1" si="7"/>
        <v>6</v>
      </c>
      <c r="H85" s="3">
        <f t="shared" ca="1" si="8"/>
        <v>8</v>
      </c>
      <c r="I85" t="str">
        <f t="shared" ca="1" si="9"/>
        <v/>
      </c>
      <c r="J85" t="str">
        <f t="shared" ca="1" si="10"/>
        <v/>
      </c>
      <c r="K85" t="str">
        <f t="shared" ca="1" si="11"/>
        <v/>
      </c>
      <c r="L85" t="str">
        <f t="shared" ca="1" si="12"/>
        <v/>
      </c>
      <c r="O85" t="str">
        <f ca="1">INDEX(T_L1[],G85)</f>
        <v>Hemp Seeds,</v>
      </c>
      <c r="P85" t="str">
        <f ca="1">INDEX(T_L2[],H85)</f>
        <v>Coconut Oil</v>
      </c>
      <c r="Q85" t="e">
        <f ca="1">INDEX(T_L3[],I85)</f>
        <v>#VALUE!</v>
      </c>
      <c r="R85" t="e">
        <f ca="1">INDEX(T_L4[],J85)</f>
        <v>#VALUE!</v>
      </c>
      <c r="S85" t="e">
        <f ca="1">INDEX(T_L5[],K85)</f>
        <v>#VALUE!</v>
      </c>
      <c r="T85" t="e">
        <f ca="1">INDEX(T_L6[],L85)</f>
        <v>#VALUE!</v>
      </c>
    </row>
    <row r="86" spans="6:20" x14ac:dyDescent="0.2">
      <c r="F86">
        <v>84</v>
      </c>
      <c r="G86" s="3">
        <f t="shared" ca="1" si="7"/>
        <v>6</v>
      </c>
      <c r="H86" s="3">
        <f t="shared" ca="1" si="8"/>
        <v>9</v>
      </c>
      <c r="I86" t="str">
        <f t="shared" ca="1" si="9"/>
        <v/>
      </c>
      <c r="J86" t="str">
        <f t="shared" ca="1" si="10"/>
        <v/>
      </c>
      <c r="K86" t="str">
        <f t="shared" ca="1" si="11"/>
        <v/>
      </c>
      <c r="L86" t="str">
        <f t="shared" ca="1" si="12"/>
        <v/>
      </c>
      <c r="O86" t="str">
        <f ca="1">INDEX(T_L1[],G86)</f>
        <v>Hemp Seeds,</v>
      </c>
      <c r="P86" t="str">
        <f ca="1">INDEX(T_L2[],H86)</f>
        <v>MCT Oil</v>
      </c>
      <c r="Q86" t="e">
        <f ca="1">INDEX(T_L3[],I86)</f>
        <v>#VALUE!</v>
      </c>
      <c r="R86" t="e">
        <f ca="1">INDEX(T_L4[],J86)</f>
        <v>#VALUE!</v>
      </c>
      <c r="S86" t="e">
        <f ca="1">INDEX(T_L5[],K86)</f>
        <v>#VALUE!</v>
      </c>
      <c r="T86" t="e">
        <f ca="1">INDEX(T_L6[],L86)</f>
        <v>#VALUE!</v>
      </c>
    </row>
    <row r="87" spans="6:20" x14ac:dyDescent="0.2">
      <c r="F87">
        <v>85</v>
      </c>
      <c r="G87" s="3">
        <f t="shared" ca="1" si="7"/>
        <v>6</v>
      </c>
      <c r="H87" s="3">
        <f t="shared" ca="1" si="8"/>
        <v>10</v>
      </c>
      <c r="I87" t="str">
        <f t="shared" ca="1" si="9"/>
        <v/>
      </c>
      <c r="J87" t="str">
        <f t="shared" ca="1" si="10"/>
        <v/>
      </c>
      <c r="K87" t="str">
        <f t="shared" ca="1" si="11"/>
        <v/>
      </c>
      <c r="L87" t="str">
        <f t="shared" ca="1" si="12"/>
        <v/>
      </c>
      <c r="O87" t="str">
        <f ca="1">INDEX(T_L1[],G87)</f>
        <v>Hemp Seeds,</v>
      </c>
      <c r="P87" t="str">
        <f ca="1">INDEX(T_L2[],H87)</f>
        <v>Walnuts</v>
      </c>
      <c r="Q87" t="e">
        <f ca="1">INDEX(T_L3[],I87)</f>
        <v>#VALUE!</v>
      </c>
      <c r="R87" t="e">
        <f ca="1">INDEX(T_L4[],J87)</f>
        <v>#VALUE!</v>
      </c>
      <c r="S87" t="e">
        <f ca="1">INDEX(T_L5[],K87)</f>
        <v>#VALUE!</v>
      </c>
      <c r="T87" t="e">
        <f ca="1">INDEX(T_L6[],L87)</f>
        <v>#VALUE!</v>
      </c>
    </row>
    <row r="88" spans="6:20" x14ac:dyDescent="0.2">
      <c r="F88">
        <v>86</v>
      </c>
      <c r="G88" s="3">
        <f t="shared" ca="1" si="7"/>
        <v>6</v>
      </c>
      <c r="H88" s="3">
        <f t="shared" ca="1" si="8"/>
        <v>11</v>
      </c>
      <c r="I88" t="str">
        <f t="shared" ca="1" si="9"/>
        <v/>
      </c>
      <c r="J88" t="str">
        <f t="shared" ca="1" si="10"/>
        <v/>
      </c>
      <c r="K88" t="str">
        <f t="shared" ca="1" si="11"/>
        <v/>
      </c>
      <c r="L88" t="str">
        <f t="shared" ca="1" si="12"/>
        <v/>
      </c>
      <c r="O88" t="str">
        <f ca="1">INDEX(T_L1[],G88)</f>
        <v>Hemp Seeds,</v>
      </c>
      <c r="P88" t="str">
        <f ca="1">INDEX(T_L2[],H88)</f>
        <v>Pecans</v>
      </c>
      <c r="Q88" t="e">
        <f ca="1">INDEX(T_L3[],I88)</f>
        <v>#VALUE!</v>
      </c>
      <c r="R88" t="e">
        <f ca="1">INDEX(T_L4[],J88)</f>
        <v>#VALUE!</v>
      </c>
      <c r="S88" t="e">
        <f ca="1">INDEX(T_L5[],K88)</f>
        <v>#VALUE!</v>
      </c>
      <c r="T88" t="e">
        <f ca="1">INDEX(T_L6[],L88)</f>
        <v>#VALUE!</v>
      </c>
    </row>
    <row r="89" spans="6:20" x14ac:dyDescent="0.2">
      <c r="F89">
        <v>87</v>
      </c>
      <c r="G89" s="3">
        <f t="shared" ca="1" si="7"/>
        <v>6</v>
      </c>
      <c r="H89" s="3">
        <f t="shared" ca="1" si="8"/>
        <v>12</v>
      </c>
      <c r="I89" t="str">
        <f t="shared" ca="1" si="9"/>
        <v/>
      </c>
      <c r="J89" t="str">
        <f t="shared" ca="1" si="10"/>
        <v/>
      </c>
      <c r="K89" t="str">
        <f t="shared" ca="1" si="11"/>
        <v/>
      </c>
      <c r="L89" t="str">
        <f t="shared" ca="1" si="12"/>
        <v/>
      </c>
      <c r="O89" t="str">
        <f ca="1">INDEX(T_L1[],G89)</f>
        <v>Hemp Seeds,</v>
      </c>
      <c r="P89" t="str">
        <f ca="1">INDEX(T_L2[],H89)</f>
        <v>Macadamia Nuts</v>
      </c>
      <c r="Q89" t="e">
        <f ca="1">INDEX(T_L3[],I89)</f>
        <v>#VALUE!</v>
      </c>
      <c r="R89" t="e">
        <f ca="1">INDEX(T_L4[],J89)</f>
        <v>#VALUE!</v>
      </c>
      <c r="S89" t="e">
        <f ca="1">INDEX(T_L5[],K89)</f>
        <v>#VALUE!</v>
      </c>
      <c r="T89" t="e">
        <f ca="1">INDEX(T_L6[],L89)</f>
        <v>#VALUE!</v>
      </c>
    </row>
    <row r="90" spans="6:20" x14ac:dyDescent="0.2">
      <c r="F90">
        <v>88</v>
      </c>
      <c r="G90" s="3">
        <f t="shared" ca="1" si="7"/>
        <v>6</v>
      </c>
      <c r="H90" s="3">
        <f t="shared" ca="1" si="8"/>
        <v>13</v>
      </c>
      <c r="I90" t="str">
        <f t="shared" ca="1" si="9"/>
        <v/>
      </c>
      <c r="J90" t="str">
        <f t="shared" ca="1" si="10"/>
        <v/>
      </c>
      <c r="K90" t="str">
        <f t="shared" ca="1" si="11"/>
        <v/>
      </c>
      <c r="L90" t="str">
        <f t="shared" ca="1" si="12"/>
        <v/>
      </c>
      <c r="O90" t="str">
        <f ca="1">INDEX(T_L1[],G90)</f>
        <v>Hemp Seeds,</v>
      </c>
      <c r="P90" t="str">
        <f ca="1">INDEX(T_L2[],H90)</f>
        <v>Tahini</v>
      </c>
      <c r="Q90" t="e">
        <f ca="1">INDEX(T_L3[],I90)</f>
        <v>#VALUE!</v>
      </c>
      <c r="R90" t="e">
        <f ca="1">INDEX(T_L4[],J90)</f>
        <v>#VALUE!</v>
      </c>
      <c r="S90" t="e">
        <f ca="1">INDEX(T_L5[],K90)</f>
        <v>#VALUE!</v>
      </c>
      <c r="T90" t="e">
        <f ca="1">INDEX(T_L6[],L90)</f>
        <v>#VALUE!</v>
      </c>
    </row>
    <row r="91" spans="6:20" x14ac:dyDescent="0.2">
      <c r="F91">
        <v>89</v>
      </c>
      <c r="G91" s="3">
        <f t="shared" ca="1" si="7"/>
        <v>6</v>
      </c>
      <c r="H91" s="3">
        <f t="shared" ca="1" si="8"/>
        <v>14</v>
      </c>
      <c r="I91" t="str">
        <f t="shared" ca="1" si="9"/>
        <v/>
      </c>
      <c r="J91" t="str">
        <f t="shared" ca="1" si="10"/>
        <v/>
      </c>
      <c r="K91" t="str">
        <f t="shared" ca="1" si="11"/>
        <v/>
      </c>
      <c r="L91" t="str">
        <f t="shared" ca="1" si="12"/>
        <v/>
      </c>
      <c r="O91" t="str">
        <f ca="1">INDEX(T_L1[],G91)</f>
        <v>Hemp Seeds,</v>
      </c>
      <c r="P91" t="str">
        <f ca="1">INDEX(T_L2[],H91)</f>
        <v>Dark Chocolate</v>
      </c>
      <c r="Q91" t="e">
        <f ca="1">INDEX(T_L3[],I91)</f>
        <v>#VALUE!</v>
      </c>
      <c r="R91" t="e">
        <f ca="1">INDEX(T_L4[],J91)</f>
        <v>#VALUE!</v>
      </c>
      <c r="S91" t="e">
        <f ca="1">INDEX(T_L5[],K91)</f>
        <v>#VALUE!</v>
      </c>
      <c r="T91" t="e">
        <f ca="1">INDEX(T_L6[],L91)</f>
        <v>#VALUE!</v>
      </c>
    </row>
    <row r="92" spans="6:20" x14ac:dyDescent="0.2">
      <c r="F92">
        <v>90</v>
      </c>
      <c r="G92" s="3">
        <f t="shared" ca="1" si="7"/>
        <v>6</v>
      </c>
      <c r="H92" s="3">
        <f t="shared" ca="1" si="8"/>
        <v>15</v>
      </c>
      <c r="I92" t="str">
        <f t="shared" ca="1" si="9"/>
        <v/>
      </c>
      <c r="J92" t="str">
        <f t="shared" ca="1" si="10"/>
        <v/>
      </c>
      <c r="K92" t="str">
        <f t="shared" ca="1" si="11"/>
        <v/>
      </c>
      <c r="L92" t="str">
        <f t="shared" ca="1" si="12"/>
        <v/>
      </c>
      <c r="O92" t="str">
        <f ca="1">INDEX(T_L1[],G92)</f>
        <v>Hemp Seeds,</v>
      </c>
      <c r="P92" t="str">
        <f ca="1">INDEX(T_L2[],H92)</f>
        <v>-</v>
      </c>
      <c r="Q92" t="e">
        <f ca="1">INDEX(T_L3[],I92)</f>
        <v>#VALUE!</v>
      </c>
      <c r="R92" t="e">
        <f ca="1">INDEX(T_L4[],J92)</f>
        <v>#VALUE!</v>
      </c>
      <c r="S92" t="e">
        <f ca="1">INDEX(T_L5[],K92)</f>
        <v>#VALUE!</v>
      </c>
      <c r="T92" t="e">
        <f ca="1">INDEX(T_L6[],L92)</f>
        <v>#VALUE!</v>
      </c>
    </row>
    <row r="93" spans="6:20" x14ac:dyDescent="0.2">
      <c r="F93">
        <v>91</v>
      </c>
      <c r="G93" s="3">
        <f t="shared" ca="1" si="7"/>
        <v>7</v>
      </c>
      <c r="H93" s="3">
        <f t="shared" ca="1" si="8"/>
        <v>1</v>
      </c>
      <c r="I93" t="str">
        <f t="shared" ca="1" si="9"/>
        <v/>
      </c>
      <c r="J93" t="str">
        <f t="shared" ca="1" si="10"/>
        <v/>
      </c>
      <c r="K93" t="str">
        <f t="shared" ca="1" si="11"/>
        <v/>
      </c>
      <c r="L93" t="str">
        <f t="shared" ca="1" si="12"/>
        <v/>
      </c>
      <c r="O93" t="str">
        <f ca="1">INDEX(T_L1[],G93)</f>
        <v>Avocado,</v>
      </c>
      <c r="P93" t="str">
        <f ca="1">INDEX(T_L2[],H93)</f>
        <v>Peanut Butter</v>
      </c>
      <c r="Q93" t="e">
        <f ca="1">INDEX(T_L3[],I93)</f>
        <v>#VALUE!</v>
      </c>
      <c r="R93" t="e">
        <f ca="1">INDEX(T_L4[],J93)</f>
        <v>#VALUE!</v>
      </c>
      <c r="S93" t="e">
        <f ca="1">INDEX(T_L5[],K93)</f>
        <v>#VALUE!</v>
      </c>
      <c r="T93" t="e">
        <f ca="1">INDEX(T_L6[],L93)</f>
        <v>#VALUE!</v>
      </c>
    </row>
    <row r="94" spans="6:20" x14ac:dyDescent="0.2">
      <c r="F94">
        <v>92</v>
      </c>
      <c r="G94" s="3">
        <f t="shared" ca="1" si="7"/>
        <v>7</v>
      </c>
      <c r="H94" s="3">
        <f t="shared" ca="1" si="8"/>
        <v>2</v>
      </c>
      <c r="I94" t="str">
        <f t="shared" ca="1" si="9"/>
        <v/>
      </c>
      <c r="J94" t="str">
        <f t="shared" ca="1" si="10"/>
        <v/>
      </c>
      <c r="K94" t="str">
        <f t="shared" ca="1" si="11"/>
        <v/>
      </c>
      <c r="L94" t="str">
        <f t="shared" ca="1" si="12"/>
        <v/>
      </c>
      <c r="O94" t="str">
        <f ca="1">INDEX(T_L1[],G94)</f>
        <v>Avocado,</v>
      </c>
      <c r="P94" t="str">
        <f ca="1">INDEX(T_L2[],H94)</f>
        <v>Almond Butter</v>
      </c>
      <c r="Q94" t="e">
        <f ca="1">INDEX(T_L3[],I94)</f>
        <v>#VALUE!</v>
      </c>
      <c r="R94" t="e">
        <f ca="1">INDEX(T_L4[],J94)</f>
        <v>#VALUE!</v>
      </c>
      <c r="S94" t="e">
        <f ca="1">INDEX(T_L5[],K94)</f>
        <v>#VALUE!</v>
      </c>
      <c r="T94" t="e">
        <f ca="1">INDEX(T_L6[],L94)</f>
        <v>#VALUE!</v>
      </c>
    </row>
    <row r="95" spans="6:20" x14ac:dyDescent="0.2">
      <c r="F95">
        <v>93</v>
      </c>
      <c r="G95" s="3">
        <f t="shared" ca="1" si="7"/>
        <v>7</v>
      </c>
      <c r="H95" s="3">
        <f t="shared" ca="1" si="8"/>
        <v>3</v>
      </c>
      <c r="I95" t="str">
        <f t="shared" ca="1" si="9"/>
        <v/>
      </c>
      <c r="J95" t="str">
        <f t="shared" ca="1" si="10"/>
        <v/>
      </c>
      <c r="K95" t="str">
        <f t="shared" ca="1" si="11"/>
        <v/>
      </c>
      <c r="L95" t="str">
        <f t="shared" ca="1" si="12"/>
        <v/>
      </c>
      <c r="O95" t="str">
        <f ca="1">INDEX(T_L1[],G95)</f>
        <v>Avocado,</v>
      </c>
      <c r="P95" t="str">
        <f ca="1">INDEX(T_L2[],H95)</f>
        <v>Cashew Butter</v>
      </c>
      <c r="Q95" t="e">
        <f ca="1">INDEX(T_L3[],I95)</f>
        <v>#VALUE!</v>
      </c>
      <c r="R95" t="e">
        <f ca="1">INDEX(T_L4[],J95)</f>
        <v>#VALUE!</v>
      </c>
      <c r="S95" t="e">
        <f ca="1">INDEX(T_L5[],K95)</f>
        <v>#VALUE!</v>
      </c>
      <c r="T95" t="e">
        <f ca="1">INDEX(T_L6[],L95)</f>
        <v>#VALUE!</v>
      </c>
    </row>
    <row r="96" spans="6:20" x14ac:dyDescent="0.2">
      <c r="F96">
        <v>94</v>
      </c>
      <c r="G96" s="3">
        <f t="shared" ca="1" si="7"/>
        <v>7</v>
      </c>
      <c r="H96" s="3">
        <f t="shared" ca="1" si="8"/>
        <v>4</v>
      </c>
      <c r="I96" t="str">
        <f t="shared" ca="1" si="9"/>
        <v/>
      </c>
      <c r="J96" t="str">
        <f t="shared" ca="1" si="10"/>
        <v/>
      </c>
      <c r="K96" t="str">
        <f t="shared" ca="1" si="11"/>
        <v/>
      </c>
      <c r="L96" t="str">
        <f t="shared" ca="1" si="12"/>
        <v/>
      </c>
      <c r="O96" t="str">
        <f ca="1">INDEX(T_L1[],G96)</f>
        <v>Avocado,</v>
      </c>
      <c r="P96" t="str">
        <f ca="1">INDEX(T_L2[],H96)</f>
        <v>Chia Seeds</v>
      </c>
      <c r="Q96" t="e">
        <f ca="1">INDEX(T_L3[],I96)</f>
        <v>#VALUE!</v>
      </c>
      <c r="R96" t="e">
        <f ca="1">INDEX(T_L4[],J96)</f>
        <v>#VALUE!</v>
      </c>
      <c r="S96" t="e">
        <f ca="1">INDEX(T_L5[],K96)</f>
        <v>#VALUE!</v>
      </c>
      <c r="T96" t="e">
        <f ca="1">INDEX(T_L6[],L96)</f>
        <v>#VALUE!</v>
      </c>
    </row>
    <row r="97" spans="6:20" x14ac:dyDescent="0.2">
      <c r="F97">
        <v>95</v>
      </c>
      <c r="G97" s="3">
        <f t="shared" ca="1" si="7"/>
        <v>7</v>
      </c>
      <c r="H97" s="3">
        <f t="shared" ca="1" si="8"/>
        <v>5</v>
      </c>
      <c r="I97" t="str">
        <f t="shared" ca="1" si="9"/>
        <v/>
      </c>
      <c r="J97" t="str">
        <f t="shared" ca="1" si="10"/>
        <v/>
      </c>
      <c r="K97" t="str">
        <f t="shared" ca="1" si="11"/>
        <v/>
      </c>
      <c r="L97" t="str">
        <f t="shared" ca="1" si="12"/>
        <v/>
      </c>
      <c r="O97" t="str">
        <f ca="1">INDEX(T_L1[],G97)</f>
        <v>Avocado,</v>
      </c>
      <c r="P97" t="str">
        <f ca="1">INDEX(T_L2[],H97)</f>
        <v>Flax Seeds</v>
      </c>
      <c r="Q97" t="e">
        <f ca="1">INDEX(T_L3[],I97)</f>
        <v>#VALUE!</v>
      </c>
      <c r="R97" t="e">
        <f ca="1">INDEX(T_L4[],J97)</f>
        <v>#VALUE!</v>
      </c>
      <c r="S97" t="e">
        <f ca="1">INDEX(T_L5[],K97)</f>
        <v>#VALUE!</v>
      </c>
      <c r="T97" t="e">
        <f ca="1">INDEX(T_L6[],L97)</f>
        <v>#VALUE!</v>
      </c>
    </row>
    <row r="98" spans="6:20" x14ac:dyDescent="0.2">
      <c r="F98">
        <v>96</v>
      </c>
      <c r="G98" s="3">
        <f t="shared" ca="1" si="7"/>
        <v>7</v>
      </c>
      <c r="H98" s="3">
        <f t="shared" ca="1" si="8"/>
        <v>6</v>
      </c>
      <c r="I98" t="str">
        <f t="shared" ca="1" si="9"/>
        <v/>
      </c>
      <c r="J98" t="str">
        <f t="shared" ca="1" si="10"/>
        <v/>
      </c>
      <c r="K98" t="str">
        <f t="shared" ca="1" si="11"/>
        <v/>
      </c>
      <c r="L98" t="str">
        <f t="shared" ca="1" si="12"/>
        <v/>
      </c>
      <c r="O98" t="str">
        <f ca="1">INDEX(T_L1[],G98)</f>
        <v>Avocado,</v>
      </c>
      <c r="P98" t="str">
        <f ca="1">INDEX(T_L2[],H98)</f>
        <v>Hemp Seeds</v>
      </c>
      <c r="Q98" t="e">
        <f ca="1">INDEX(T_L3[],I98)</f>
        <v>#VALUE!</v>
      </c>
      <c r="R98" t="e">
        <f ca="1">INDEX(T_L4[],J98)</f>
        <v>#VALUE!</v>
      </c>
      <c r="S98" t="e">
        <f ca="1">INDEX(T_L5[],K98)</f>
        <v>#VALUE!</v>
      </c>
      <c r="T98" t="e">
        <f ca="1">INDEX(T_L6[],L98)</f>
        <v>#VALUE!</v>
      </c>
    </row>
    <row r="99" spans="6:20" x14ac:dyDescent="0.2">
      <c r="F99">
        <v>97</v>
      </c>
      <c r="G99" s="3">
        <f t="shared" ca="1" si="7"/>
        <v>7</v>
      </c>
      <c r="H99" s="3">
        <f t="shared" ca="1" si="8"/>
        <v>7</v>
      </c>
      <c r="I99" t="str">
        <f t="shared" ca="1" si="9"/>
        <v/>
      </c>
      <c r="J99" t="str">
        <f t="shared" ca="1" si="10"/>
        <v/>
      </c>
      <c r="K99" t="str">
        <f t="shared" ca="1" si="11"/>
        <v/>
      </c>
      <c r="L99" t="str">
        <f t="shared" ca="1" si="12"/>
        <v/>
      </c>
    </row>
    <row r="100" spans="6:20" x14ac:dyDescent="0.2">
      <c r="F100">
        <v>98</v>
      </c>
      <c r="G100" s="3">
        <f t="shared" ca="1" si="7"/>
        <v>7</v>
      </c>
      <c r="H100" s="3">
        <f t="shared" ca="1" si="8"/>
        <v>8</v>
      </c>
      <c r="I100" t="str">
        <f t="shared" ca="1" si="9"/>
        <v/>
      </c>
      <c r="J100" t="str">
        <f t="shared" ca="1" si="10"/>
        <v/>
      </c>
      <c r="K100" t="str">
        <f t="shared" ca="1" si="11"/>
        <v/>
      </c>
      <c r="L100" t="str">
        <f t="shared" ca="1" si="12"/>
        <v/>
      </c>
    </row>
    <row r="101" spans="6:20" x14ac:dyDescent="0.2">
      <c r="F101">
        <v>99</v>
      </c>
      <c r="G101" s="3">
        <f t="shared" ca="1" si="7"/>
        <v>7</v>
      </c>
      <c r="H101" s="3">
        <f t="shared" ca="1" si="8"/>
        <v>9</v>
      </c>
      <c r="I101" t="str">
        <f t="shared" ca="1" si="9"/>
        <v/>
      </c>
      <c r="J101" t="str">
        <f t="shared" ca="1" si="10"/>
        <v/>
      </c>
      <c r="K101" t="str">
        <f t="shared" ca="1" si="11"/>
        <v/>
      </c>
      <c r="L101" t="str">
        <f t="shared" ca="1" si="12"/>
        <v/>
      </c>
    </row>
    <row r="102" spans="6:20" x14ac:dyDescent="0.2">
      <c r="F102">
        <v>100</v>
      </c>
      <c r="G102" s="3">
        <f t="shared" ca="1" si="7"/>
        <v>7</v>
      </c>
      <c r="H102" s="3">
        <f t="shared" ca="1" si="8"/>
        <v>10</v>
      </c>
      <c r="I102" t="str">
        <f t="shared" ca="1" si="9"/>
        <v/>
      </c>
      <c r="J102" t="str">
        <f t="shared" ca="1" si="10"/>
        <v/>
      </c>
      <c r="K102" t="str">
        <f t="shared" ca="1" si="11"/>
        <v/>
      </c>
      <c r="L102" t="str">
        <f t="shared" ca="1" si="12"/>
        <v/>
      </c>
    </row>
    <row r="103" spans="6:20" x14ac:dyDescent="0.2">
      <c r="F103">
        <v>101</v>
      </c>
      <c r="G103" s="3">
        <f t="shared" ca="1" si="7"/>
        <v>7</v>
      </c>
      <c r="H103" s="3">
        <f t="shared" ca="1" si="8"/>
        <v>11</v>
      </c>
      <c r="I103" t="str">
        <f t="shared" ca="1" si="9"/>
        <v/>
      </c>
      <c r="J103" t="str">
        <f t="shared" ca="1" si="10"/>
        <v/>
      </c>
      <c r="K103" t="str">
        <f t="shared" ca="1" si="11"/>
        <v/>
      </c>
      <c r="L103" t="str">
        <f t="shared" ca="1" si="12"/>
        <v/>
      </c>
    </row>
    <row r="104" spans="6:20" x14ac:dyDescent="0.2">
      <c r="F104">
        <v>102</v>
      </c>
      <c r="G104" s="3">
        <f t="shared" ca="1" si="7"/>
        <v>7</v>
      </c>
      <c r="H104" s="3">
        <f t="shared" ca="1" si="8"/>
        <v>12</v>
      </c>
      <c r="I104" t="str">
        <f t="shared" ca="1" si="9"/>
        <v/>
      </c>
      <c r="J104" t="str">
        <f t="shared" ca="1" si="10"/>
        <v/>
      </c>
      <c r="K104" t="str">
        <f t="shared" ca="1" si="11"/>
        <v/>
      </c>
      <c r="L104" t="str">
        <f t="shared" ca="1" si="12"/>
        <v/>
      </c>
    </row>
    <row r="105" spans="6:20" x14ac:dyDescent="0.2">
      <c r="F105">
        <v>103</v>
      </c>
      <c r="G105" s="3">
        <f t="shared" ca="1" si="7"/>
        <v>7</v>
      </c>
      <c r="H105" s="3">
        <f t="shared" ca="1" si="8"/>
        <v>13</v>
      </c>
      <c r="I105" t="str">
        <f t="shared" ca="1" si="9"/>
        <v/>
      </c>
      <c r="J105" t="str">
        <f t="shared" ca="1" si="10"/>
        <v/>
      </c>
      <c r="K105" t="str">
        <f t="shared" ca="1" si="11"/>
        <v/>
      </c>
      <c r="L105" t="str">
        <f t="shared" ca="1" si="12"/>
        <v/>
      </c>
    </row>
    <row r="106" spans="6:20" x14ac:dyDescent="0.2">
      <c r="F106">
        <v>104</v>
      </c>
      <c r="G106" s="3">
        <f t="shared" ca="1" si="7"/>
        <v>7</v>
      </c>
      <c r="H106" s="3">
        <f t="shared" ca="1" si="8"/>
        <v>14</v>
      </c>
      <c r="I106" t="str">
        <f t="shared" ca="1" si="9"/>
        <v/>
      </c>
      <c r="J106" t="str">
        <f t="shared" ca="1" si="10"/>
        <v/>
      </c>
      <c r="K106" t="str">
        <f t="shared" ca="1" si="11"/>
        <v/>
      </c>
      <c r="L106" t="str">
        <f t="shared" ca="1" si="12"/>
        <v/>
      </c>
    </row>
    <row r="107" spans="6:20" x14ac:dyDescent="0.2">
      <c r="F107">
        <v>105</v>
      </c>
      <c r="G107" s="3">
        <f t="shared" ca="1" si="7"/>
        <v>7</v>
      </c>
      <c r="H107" s="3">
        <f t="shared" ca="1" si="8"/>
        <v>15</v>
      </c>
      <c r="I107" t="str">
        <f t="shared" ca="1" si="9"/>
        <v/>
      </c>
      <c r="J107" t="str">
        <f t="shared" ca="1" si="10"/>
        <v/>
      </c>
      <c r="K107" t="str">
        <f t="shared" ca="1" si="11"/>
        <v/>
      </c>
      <c r="L107" t="str">
        <f t="shared" ca="1" si="12"/>
        <v/>
      </c>
    </row>
    <row r="108" spans="6:20" x14ac:dyDescent="0.2">
      <c r="F108">
        <v>106</v>
      </c>
      <c r="G108" s="3">
        <f t="shared" ca="1" si="7"/>
        <v>8</v>
      </c>
      <c r="H108" s="3">
        <f t="shared" ca="1" si="8"/>
        <v>1</v>
      </c>
      <c r="I108" t="str">
        <f t="shared" ca="1" si="9"/>
        <v/>
      </c>
      <c r="J108" t="str">
        <f t="shared" ca="1" si="10"/>
        <v/>
      </c>
      <c r="K108" t="str">
        <f t="shared" ca="1" si="11"/>
        <v/>
      </c>
      <c r="L108" t="str">
        <f t="shared" ca="1" si="12"/>
        <v/>
      </c>
    </row>
    <row r="109" spans="6:20" x14ac:dyDescent="0.2">
      <c r="F109">
        <v>107</v>
      </c>
      <c r="G109" s="3">
        <f t="shared" ca="1" si="7"/>
        <v>8</v>
      </c>
      <c r="H109" s="3">
        <f t="shared" ca="1" si="8"/>
        <v>2</v>
      </c>
      <c r="I109" t="str">
        <f t="shared" ca="1" si="9"/>
        <v/>
      </c>
      <c r="J109" t="str">
        <f t="shared" ca="1" si="10"/>
        <v/>
      </c>
      <c r="K109" t="str">
        <f t="shared" ca="1" si="11"/>
        <v/>
      </c>
      <c r="L109" t="str">
        <f t="shared" ca="1" si="12"/>
        <v/>
      </c>
    </row>
    <row r="110" spans="6:20" x14ac:dyDescent="0.2">
      <c r="F110">
        <v>108</v>
      </c>
      <c r="G110" s="3">
        <f t="shared" ca="1" si="7"/>
        <v>8</v>
      </c>
      <c r="H110" s="3">
        <f t="shared" ca="1" si="8"/>
        <v>3</v>
      </c>
      <c r="I110" t="str">
        <f t="shared" ca="1" si="9"/>
        <v/>
      </c>
      <c r="J110" t="str">
        <f t="shared" ca="1" si="10"/>
        <v/>
      </c>
      <c r="K110" t="str">
        <f t="shared" ca="1" si="11"/>
        <v/>
      </c>
      <c r="L110" t="str">
        <f t="shared" ca="1" si="12"/>
        <v/>
      </c>
    </row>
    <row r="111" spans="6:20" x14ac:dyDescent="0.2">
      <c r="F111">
        <v>109</v>
      </c>
      <c r="G111" s="3">
        <f t="shared" ca="1" si="7"/>
        <v>8</v>
      </c>
      <c r="H111" s="3">
        <f t="shared" ca="1" si="8"/>
        <v>4</v>
      </c>
      <c r="I111" t="str">
        <f t="shared" ca="1" si="9"/>
        <v/>
      </c>
      <c r="J111" t="str">
        <f t="shared" ca="1" si="10"/>
        <v/>
      </c>
      <c r="K111" t="str">
        <f t="shared" ca="1" si="11"/>
        <v/>
      </c>
      <c r="L111" t="str">
        <f t="shared" ca="1" si="12"/>
        <v/>
      </c>
    </row>
    <row r="112" spans="6:20" x14ac:dyDescent="0.2">
      <c r="F112">
        <v>110</v>
      </c>
      <c r="G112" s="3">
        <f t="shared" ca="1" si="7"/>
        <v>8</v>
      </c>
      <c r="H112" s="3">
        <f t="shared" ca="1" si="8"/>
        <v>5</v>
      </c>
      <c r="I112" t="str">
        <f t="shared" ca="1" si="9"/>
        <v/>
      </c>
      <c r="J112" t="str">
        <f t="shared" ca="1" si="10"/>
        <v/>
      </c>
      <c r="K112" t="str">
        <f t="shared" ca="1" si="11"/>
        <v/>
      </c>
      <c r="L112" t="str">
        <f t="shared" ca="1" si="12"/>
        <v/>
      </c>
    </row>
    <row r="113" spans="6:12" x14ac:dyDescent="0.2">
      <c r="F113">
        <v>111</v>
      </c>
      <c r="G113" s="3">
        <f t="shared" ca="1" si="7"/>
        <v>8</v>
      </c>
      <c r="H113" s="3">
        <f t="shared" ca="1" si="8"/>
        <v>6</v>
      </c>
      <c r="I113" t="str">
        <f t="shared" ca="1" si="9"/>
        <v/>
      </c>
      <c r="J113" t="str">
        <f t="shared" ca="1" si="10"/>
        <v/>
      </c>
      <c r="K113" t="str">
        <f t="shared" ca="1" si="11"/>
        <v/>
      </c>
      <c r="L113" t="str">
        <f t="shared" ca="1" si="12"/>
        <v/>
      </c>
    </row>
    <row r="114" spans="6:12" x14ac:dyDescent="0.2">
      <c r="F114">
        <v>112</v>
      </c>
      <c r="G114" s="3">
        <f t="shared" ca="1" si="7"/>
        <v>8</v>
      </c>
      <c r="H114" s="3">
        <f t="shared" ca="1" si="8"/>
        <v>7</v>
      </c>
      <c r="I114" t="str">
        <f t="shared" ca="1" si="9"/>
        <v/>
      </c>
      <c r="J114" t="str">
        <f t="shared" ca="1" si="10"/>
        <v/>
      </c>
      <c r="K114" t="str">
        <f t="shared" ca="1" si="11"/>
        <v/>
      </c>
      <c r="L114" t="str">
        <f t="shared" ca="1" si="12"/>
        <v/>
      </c>
    </row>
    <row r="115" spans="6:12" x14ac:dyDescent="0.2">
      <c r="F115">
        <v>113</v>
      </c>
      <c r="G115" s="3">
        <f t="shared" ca="1" si="7"/>
        <v>8</v>
      </c>
      <c r="H115" s="3">
        <f t="shared" ca="1" si="8"/>
        <v>8</v>
      </c>
      <c r="I115" t="str">
        <f t="shared" ca="1" si="9"/>
        <v/>
      </c>
      <c r="J115" t="str">
        <f t="shared" ca="1" si="10"/>
        <v/>
      </c>
      <c r="K115" t="str">
        <f t="shared" ca="1" si="11"/>
        <v/>
      </c>
      <c r="L115" t="str">
        <f t="shared" ca="1" si="12"/>
        <v/>
      </c>
    </row>
    <row r="116" spans="6:12" x14ac:dyDescent="0.2">
      <c r="F116">
        <v>114</v>
      </c>
      <c r="G116" s="3">
        <f t="shared" ca="1" si="7"/>
        <v>8</v>
      </c>
      <c r="H116" s="3">
        <f t="shared" ca="1" si="8"/>
        <v>9</v>
      </c>
      <c r="I116" t="str">
        <f t="shared" ca="1" si="9"/>
        <v/>
      </c>
      <c r="J116" t="str">
        <f t="shared" ca="1" si="10"/>
        <v/>
      </c>
      <c r="K116" t="str">
        <f t="shared" ca="1" si="11"/>
        <v/>
      </c>
      <c r="L116" t="str">
        <f t="shared" ca="1" si="12"/>
        <v/>
      </c>
    </row>
    <row r="117" spans="6:12" x14ac:dyDescent="0.2">
      <c r="F117">
        <v>115</v>
      </c>
      <c r="G117" s="3">
        <f t="shared" ca="1" si="7"/>
        <v>8</v>
      </c>
      <c r="H117" s="3">
        <f t="shared" ca="1" si="8"/>
        <v>10</v>
      </c>
      <c r="I117" t="str">
        <f t="shared" ca="1" si="9"/>
        <v/>
      </c>
      <c r="J117" t="str">
        <f t="shared" ca="1" si="10"/>
        <v/>
      </c>
      <c r="K117" t="str">
        <f t="shared" ca="1" si="11"/>
        <v/>
      </c>
      <c r="L117" t="str">
        <f t="shared" ca="1" si="12"/>
        <v/>
      </c>
    </row>
    <row r="118" spans="6:12" x14ac:dyDescent="0.2">
      <c r="F118">
        <v>116</v>
      </c>
      <c r="G118" s="3">
        <f t="shared" ca="1" si="7"/>
        <v>8</v>
      </c>
      <c r="H118" s="3">
        <f t="shared" ca="1" si="8"/>
        <v>11</v>
      </c>
      <c r="I118" t="str">
        <f t="shared" ca="1" si="9"/>
        <v/>
      </c>
      <c r="J118" t="str">
        <f t="shared" ca="1" si="10"/>
        <v/>
      </c>
      <c r="K118" t="str">
        <f t="shared" ca="1" si="11"/>
        <v/>
      </c>
      <c r="L118" t="str">
        <f t="shared" ca="1" si="12"/>
        <v/>
      </c>
    </row>
    <row r="119" spans="6:12" x14ac:dyDescent="0.2">
      <c r="F119">
        <v>117</v>
      </c>
      <c r="G119" s="3">
        <f t="shared" ca="1" si="7"/>
        <v>8</v>
      </c>
      <c r="H119" s="3">
        <f t="shared" ca="1" si="8"/>
        <v>12</v>
      </c>
      <c r="I119" t="str">
        <f t="shared" ca="1" si="9"/>
        <v/>
      </c>
      <c r="J119" t="str">
        <f t="shared" ca="1" si="10"/>
        <v/>
      </c>
      <c r="K119" t="str">
        <f t="shared" ca="1" si="11"/>
        <v/>
      </c>
      <c r="L119" t="str">
        <f t="shared" ca="1" si="12"/>
        <v/>
      </c>
    </row>
    <row r="120" spans="6:12" x14ac:dyDescent="0.2">
      <c r="F120">
        <v>118</v>
      </c>
      <c r="G120" s="3">
        <f t="shared" ca="1" si="7"/>
        <v>8</v>
      </c>
      <c r="H120" s="3">
        <f t="shared" ca="1" si="8"/>
        <v>13</v>
      </c>
      <c r="I120" t="str">
        <f t="shared" ca="1" si="9"/>
        <v/>
      </c>
      <c r="J120" t="str">
        <f t="shared" ca="1" si="10"/>
        <v/>
      </c>
      <c r="K120" t="str">
        <f t="shared" ca="1" si="11"/>
        <v/>
      </c>
      <c r="L120" t="str">
        <f t="shared" ca="1" si="12"/>
        <v/>
      </c>
    </row>
    <row r="121" spans="6:12" x14ac:dyDescent="0.2">
      <c r="F121">
        <v>119</v>
      </c>
      <c r="G121" s="3">
        <f t="shared" ca="1" si="7"/>
        <v>8</v>
      </c>
      <c r="H121" s="3">
        <f t="shared" ca="1" si="8"/>
        <v>14</v>
      </c>
      <c r="I121" t="str">
        <f t="shared" ca="1" si="9"/>
        <v/>
      </c>
      <c r="J121" t="str">
        <f t="shared" ca="1" si="10"/>
        <v/>
      </c>
      <c r="K121" t="str">
        <f t="shared" ca="1" si="11"/>
        <v/>
      </c>
      <c r="L121" t="str">
        <f t="shared" ca="1" si="12"/>
        <v/>
      </c>
    </row>
    <row r="122" spans="6:12" x14ac:dyDescent="0.2">
      <c r="F122">
        <v>120</v>
      </c>
      <c r="G122" s="3">
        <f t="shared" ca="1" si="7"/>
        <v>8</v>
      </c>
      <c r="H122" s="3">
        <f t="shared" ca="1" si="8"/>
        <v>15</v>
      </c>
      <c r="I122" t="str">
        <f t="shared" ca="1" si="9"/>
        <v/>
      </c>
      <c r="J122" t="str">
        <f t="shared" ca="1" si="10"/>
        <v/>
      </c>
      <c r="K122" t="str">
        <f t="shared" ca="1" si="11"/>
        <v/>
      </c>
      <c r="L122" t="str">
        <f t="shared" ca="1" si="12"/>
        <v/>
      </c>
    </row>
    <row r="123" spans="6:12" x14ac:dyDescent="0.2">
      <c r="F123">
        <v>121</v>
      </c>
      <c r="G123" s="3">
        <f t="shared" ca="1" si="7"/>
        <v>9</v>
      </c>
      <c r="H123" s="3">
        <f t="shared" ca="1" si="8"/>
        <v>1</v>
      </c>
      <c r="I123" t="str">
        <f t="shared" ca="1" si="9"/>
        <v/>
      </c>
      <c r="J123" t="str">
        <f t="shared" ca="1" si="10"/>
        <v/>
      </c>
      <c r="K123" t="str">
        <f t="shared" ca="1" si="11"/>
        <v/>
      </c>
      <c r="L123" t="str">
        <f t="shared" ca="1" si="12"/>
        <v/>
      </c>
    </row>
    <row r="124" spans="6:12" x14ac:dyDescent="0.2">
      <c r="F124">
        <v>122</v>
      </c>
      <c r="G124" s="3">
        <f t="shared" ca="1" si="7"/>
        <v>9</v>
      </c>
      <c r="H124" s="3">
        <f t="shared" ca="1" si="8"/>
        <v>2</v>
      </c>
      <c r="I124" t="str">
        <f t="shared" ca="1" si="9"/>
        <v/>
      </c>
      <c r="J124" t="str">
        <f t="shared" ca="1" si="10"/>
        <v/>
      </c>
      <c r="K124" t="str">
        <f t="shared" ca="1" si="11"/>
        <v/>
      </c>
      <c r="L124" t="str">
        <f t="shared" ca="1" si="12"/>
        <v/>
      </c>
    </row>
    <row r="125" spans="6:12" x14ac:dyDescent="0.2">
      <c r="F125">
        <v>123</v>
      </c>
      <c r="G125" s="3">
        <f t="shared" ca="1" si="7"/>
        <v>9</v>
      </c>
      <c r="H125" s="3">
        <f t="shared" ca="1" si="8"/>
        <v>3</v>
      </c>
      <c r="I125" t="str">
        <f t="shared" ca="1" si="9"/>
        <v/>
      </c>
      <c r="J125" t="str">
        <f t="shared" ca="1" si="10"/>
        <v/>
      </c>
      <c r="K125" t="str">
        <f t="shared" ca="1" si="11"/>
        <v/>
      </c>
      <c r="L125" t="str">
        <f t="shared" ca="1" si="12"/>
        <v/>
      </c>
    </row>
    <row r="126" spans="6:12" x14ac:dyDescent="0.2">
      <c r="F126">
        <v>124</v>
      </c>
      <c r="G126" s="3">
        <f t="shared" ca="1" si="7"/>
        <v>9</v>
      </c>
      <c r="H126" s="3">
        <f t="shared" ca="1" si="8"/>
        <v>4</v>
      </c>
      <c r="I126" t="str">
        <f t="shared" ca="1" si="9"/>
        <v/>
      </c>
      <c r="J126" t="str">
        <f t="shared" ca="1" si="10"/>
        <v/>
      </c>
      <c r="K126" t="str">
        <f t="shared" ca="1" si="11"/>
        <v/>
      </c>
      <c r="L126" t="str">
        <f t="shared" ca="1" si="12"/>
        <v/>
      </c>
    </row>
    <row r="127" spans="6:12" x14ac:dyDescent="0.2">
      <c r="F127">
        <v>125</v>
      </c>
      <c r="G127" s="3">
        <f t="shared" ca="1" si="7"/>
        <v>9</v>
      </c>
      <c r="H127" s="3">
        <f t="shared" ca="1" si="8"/>
        <v>5</v>
      </c>
      <c r="I127" t="str">
        <f t="shared" ca="1" si="9"/>
        <v/>
      </c>
      <c r="J127" t="str">
        <f t="shared" ca="1" si="10"/>
        <v/>
      </c>
      <c r="K127" t="str">
        <f t="shared" ca="1" si="11"/>
        <v/>
      </c>
      <c r="L127" t="str">
        <f t="shared" ca="1" si="12"/>
        <v/>
      </c>
    </row>
    <row r="128" spans="6:12" x14ac:dyDescent="0.2">
      <c r="F128">
        <v>126</v>
      </c>
      <c r="G128" s="3">
        <f t="shared" ca="1" si="7"/>
        <v>9</v>
      </c>
      <c r="H128" s="3">
        <f t="shared" ca="1" si="8"/>
        <v>6</v>
      </c>
      <c r="I128" t="str">
        <f t="shared" ca="1" si="9"/>
        <v/>
      </c>
      <c r="J128" t="str">
        <f t="shared" ca="1" si="10"/>
        <v/>
      </c>
      <c r="K128" t="str">
        <f t="shared" ca="1" si="11"/>
        <v/>
      </c>
      <c r="L128" t="str">
        <f t="shared" ca="1" si="12"/>
        <v/>
      </c>
    </row>
    <row r="129" spans="6:12" x14ac:dyDescent="0.2">
      <c r="F129">
        <v>127</v>
      </c>
      <c r="G129" s="3">
        <f t="shared" ca="1" si="7"/>
        <v>9</v>
      </c>
      <c r="H129" s="3">
        <f t="shared" ca="1" si="8"/>
        <v>7</v>
      </c>
      <c r="I129" t="str">
        <f t="shared" ca="1" si="9"/>
        <v/>
      </c>
      <c r="J129" t="str">
        <f t="shared" ca="1" si="10"/>
        <v/>
      </c>
      <c r="K129" t="str">
        <f t="shared" ca="1" si="11"/>
        <v/>
      </c>
      <c r="L129" t="str">
        <f t="shared" ca="1" si="12"/>
        <v/>
      </c>
    </row>
    <row r="130" spans="6:12" x14ac:dyDescent="0.2">
      <c r="F130">
        <v>128</v>
      </c>
      <c r="G130" s="3">
        <f t="shared" ca="1" si="7"/>
        <v>9</v>
      </c>
      <c r="H130" s="3">
        <f t="shared" ca="1" si="8"/>
        <v>8</v>
      </c>
      <c r="I130" t="str">
        <f t="shared" ca="1" si="9"/>
        <v/>
      </c>
      <c r="J130" t="str">
        <f t="shared" ca="1" si="10"/>
        <v/>
      </c>
      <c r="K130" t="str">
        <f t="shared" ca="1" si="11"/>
        <v/>
      </c>
      <c r="L130" t="str">
        <f t="shared" ca="1" si="12"/>
        <v/>
      </c>
    </row>
    <row r="131" spans="6:12" x14ac:dyDescent="0.2">
      <c r="F131">
        <v>129</v>
      </c>
      <c r="G131" s="3">
        <f t="shared" ref="G131:G194" ca="1" si="13">IF(OR($F131&gt;N,G$2&gt;N_LISTS),"",QUOTIENT($F131-(QUOTIENT($F131,N)*N),N_1)
+IF(MOD($F131-(QUOTIENT($F131,N)*N),N_1)=0,0,1)
+IF(MOD($F131,N)=0,C_L1,0))</f>
        <v>9</v>
      </c>
      <c r="H131" s="3">
        <f t="shared" ref="H131:H194" ca="1" si="14">IF(OR($F131&gt;N,H$2&gt;N_LISTS),"",QUOTIENT($F131-(QUOTIENT($F131,N_1)*N_1),N_2)
+IF(MOD($F131-(QUOTIENT($F131,N_1)*N_1),N_2)=0,0,1)
+IF(MOD($F131,N_1)=0,C_L2,0))</f>
        <v>9</v>
      </c>
      <c r="I131" t="str">
        <f t="shared" ref="I131:I194" ca="1" si="15">IF(OR($F131&gt;N,I$2&gt;N_LISTS),"",QUOTIENT($F131-(QUOTIENT($F131,N_2)*N_2),N_3)
+IF(MOD($F131-(QUOTIENT($F131,N_2)*N_2),N_3)=0,0,1)
+IF(MOD($F131,N_2)=0,C_L3,0))</f>
        <v/>
      </c>
      <c r="J131" t="str">
        <f t="shared" ref="J131:J194" ca="1" si="16">IF(OR($F131&gt;N,J$2&gt;N_LISTS),"",QUOTIENT($F131-(QUOTIENT($F131,N_3)*N_3),N_4)
+IF(MOD($F131-(QUOTIENT($F131,N_3)*N_3),N_4)=0,0,1)
+IF(MOD($F131,N_3)=0,C_L4,0))</f>
        <v/>
      </c>
      <c r="K131" t="str">
        <f t="shared" ref="K131:K194" ca="1" si="17">IF(OR($F131&gt;N,K$2&gt;N_LISTS),"",QUOTIENT($F131-(QUOTIENT($F131,N_4)*N_4),N_5)
+IF(MOD($F131-(QUOTIENT($F131,N_4)*N_4),N_5)=0,0,1)
+IF(MOD($F131,N_4)=0,C_L5,0))</f>
        <v/>
      </c>
      <c r="L131" t="str">
        <f t="shared" ref="L131:L194" ca="1" si="18">IF(OR($F131&gt;N,L$2&gt;N_LISTS),"",QUOTIENT($F131-(QUOTIENT($F131,N_5)*N_5),1)
+IF(MOD($F131-(QUOTIENT($F131,N_5)*N_5),1)=0,0,1)
+IF(MOD($F131,N_5)=0,C_L6,0))</f>
        <v/>
      </c>
    </row>
    <row r="132" spans="6:12" x14ac:dyDescent="0.2">
      <c r="F132">
        <v>130</v>
      </c>
      <c r="G132" s="3">
        <f t="shared" ca="1" si="13"/>
        <v>9</v>
      </c>
      <c r="H132" s="3">
        <f t="shared" ca="1" si="14"/>
        <v>10</v>
      </c>
      <c r="I132" t="str">
        <f t="shared" ca="1" si="15"/>
        <v/>
      </c>
      <c r="J132" t="str">
        <f t="shared" ca="1" si="16"/>
        <v/>
      </c>
      <c r="K132" t="str">
        <f t="shared" ca="1" si="17"/>
        <v/>
      </c>
      <c r="L132" t="str">
        <f t="shared" ca="1" si="18"/>
        <v/>
      </c>
    </row>
    <row r="133" spans="6:12" x14ac:dyDescent="0.2">
      <c r="F133">
        <v>131</v>
      </c>
      <c r="G133" s="3">
        <f t="shared" ca="1" si="13"/>
        <v>9</v>
      </c>
      <c r="H133" s="3">
        <f t="shared" ca="1" si="14"/>
        <v>11</v>
      </c>
      <c r="I133" t="str">
        <f t="shared" ca="1" si="15"/>
        <v/>
      </c>
      <c r="J133" t="str">
        <f t="shared" ca="1" si="16"/>
        <v/>
      </c>
      <c r="K133" t="str">
        <f t="shared" ca="1" si="17"/>
        <v/>
      </c>
      <c r="L133" t="str">
        <f t="shared" ca="1" si="18"/>
        <v/>
      </c>
    </row>
    <row r="134" spans="6:12" x14ac:dyDescent="0.2">
      <c r="F134">
        <v>132</v>
      </c>
      <c r="G134" s="3">
        <f t="shared" ca="1" si="13"/>
        <v>9</v>
      </c>
      <c r="H134" s="3">
        <f t="shared" ca="1" si="14"/>
        <v>12</v>
      </c>
      <c r="I134" t="str">
        <f t="shared" ca="1" si="15"/>
        <v/>
      </c>
      <c r="J134" t="str">
        <f t="shared" ca="1" si="16"/>
        <v/>
      </c>
      <c r="K134" t="str">
        <f t="shared" ca="1" si="17"/>
        <v/>
      </c>
      <c r="L134" t="str">
        <f t="shared" ca="1" si="18"/>
        <v/>
      </c>
    </row>
    <row r="135" spans="6:12" x14ac:dyDescent="0.2">
      <c r="F135">
        <v>133</v>
      </c>
      <c r="G135" s="3">
        <f t="shared" ca="1" si="13"/>
        <v>9</v>
      </c>
      <c r="H135" s="3">
        <f t="shared" ca="1" si="14"/>
        <v>13</v>
      </c>
      <c r="I135" t="str">
        <f t="shared" ca="1" si="15"/>
        <v/>
      </c>
      <c r="J135" t="str">
        <f t="shared" ca="1" si="16"/>
        <v/>
      </c>
      <c r="K135" t="str">
        <f t="shared" ca="1" si="17"/>
        <v/>
      </c>
      <c r="L135" t="str">
        <f t="shared" ca="1" si="18"/>
        <v/>
      </c>
    </row>
    <row r="136" spans="6:12" x14ac:dyDescent="0.2">
      <c r="F136">
        <v>134</v>
      </c>
      <c r="G136" s="3">
        <f t="shared" ca="1" si="13"/>
        <v>9</v>
      </c>
      <c r="H136" s="3">
        <f t="shared" ca="1" si="14"/>
        <v>14</v>
      </c>
      <c r="I136" t="str">
        <f t="shared" ca="1" si="15"/>
        <v/>
      </c>
      <c r="J136" t="str">
        <f t="shared" ca="1" si="16"/>
        <v/>
      </c>
      <c r="K136" t="str">
        <f t="shared" ca="1" si="17"/>
        <v/>
      </c>
      <c r="L136" t="str">
        <f t="shared" ca="1" si="18"/>
        <v/>
      </c>
    </row>
    <row r="137" spans="6:12" x14ac:dyDescent="0.2">
      <c r="F137">
        <v>135</v>
      </c>
      <c r="G137" s="3">
        <f t="shared" ca="1" si="13"/>
        <v>9</v>
      </c>
      <c r="H137" s="3">
        <f t="shared" ca="1" si="14"/>
        <v>15</v>
      </c>
      <c r="I137" t="str">
        <f t="shared" ca="1" si="15"/>
        <v/>
      </c>
      <c r="J137" t="str">
        <f t="shared" ca="1" si="16"/>
        <v/>
      </c>
      <c r="K137" t="str">
        <f t="shared" ca="1" si="17"/>
        <v/>
      </c>
      <c r="L137" t="str">
        <f t="shared" ca="1" si="18"/>
        <v/>
      </c>
    </row>
    <row r="138" spans="6:12" x14ac:dyDescent="0.2">
      <c r="F138">
        <v>136</v>
      </c>
      <c r="G138" s="3">
        <f t="shared" ca="1" si="13"/>
        <v>10</v>
      </c>
      <c r="H138" s="3">
        <f t="shared" ca="1" si="14"/>
        <v>1</v>
      </c>
      <c r="I138" t="str">
        <f t="shared" ca="1" si="15"/>
        <v/>
      </c>
      <c r="J138" t="str">
        <f t="shared" ca="1" si="16"/>
        <v/>
      </c>
      <c r="K138" t="str">
        <f t="shared" ca="1" si="17"/>
        <v/>
      </c>
      <c r="L138" t="str">
        <f t="shared" ca="1" si="18"/>
        <v/>
      </c>
    </row>
    <row r="139" spans="6:12" x14ac:dyDescent="0.2">
      <c r="F139">
        <v>137</v>
      </c>
      <c r="G139" s="3">
        <f t="shared" ca="1" si="13"/>
        <v>10</v>
      </c>
      <c r="H139" s="3">
        <f t="shared" ca="1" si="14"/>
        <v>2</v>
      </c>
      <c r="I139" t="str">
        <f t="shared" ca="1" si="15"/>
        <v/>
      </c>
      <c r="J139" t="str">
        <f t="shared" ca="1" si="16"/>
        <v/>
      </c>
      <c r="K139" t="str">
        <f t="shared" ca="1" si="17"/>
        <v/>
      </c>
      <c r="L139" t="str">
        <f t="shared" ca="1" si="18"/>
        <v/>
      </c>
    </row>
    <row r="140" spans="6:12" x14ac:dyDescent="0.2">
      <c r="F140">
        <v>138</v>
      </c>
      <c r="G140" s="3">
        <f t="shared" ca="1" si="13"/>
        <v>10</v>
      </c>
      <c r="H140" s="3">
        <f t="shared" ca="1" si="14"/>
        <v>3</v>
      </c>
      <c r="I140" t="str">
        <f t="shared" ca="1" si="15"/>
        <v/>
      </c>
      <c r="J140" t="str">
        <f t="shared" ca="1" si="16"/>
        <v/>
      </c>
      <c r="K140" t="str">
        <f t="shared" ca="1" si="17"/>
        <v/>
      </c>
      <c r="L140" t="str">
        <f t="shared" ca="1" si="18"/>
        <v/>
      </c>
    </row>
    <row r="141" spans="6:12" x14ac:dyDescent="0.2">
      <c r="F141">
        <v>139</v>
      </c>
      <c r="G141" s="3">
        <f t="shared" ca="1" si="13"/>
        <v>10</v>
      </c>
      <c r="H141" s="3">
        <f t="shared" ca="1" si="14"/>
        <v>4</v>
      </c>
      <c r="I141" t="str">
        <f t="shared" ca="1" si="15"/>
        <v/>
      </c>
      <c r="J141" t="str">
        <f t="shared" ca="1" si="16"/>
        <v/>
      </c>
      <c r="K141" t="str">
        <f t="shared" ca="1" si="17"/>
        <v/>
      </c>
      <c r="L141" t="str">
        <f t="shared" ca="1" si="18"/>
        <v/>
      </c>
    </row>
    <row r="142" spans="6:12" x14ac:dyDescent="0.2">
      <c r="F142">
        <v>140</v>
      </c>
      <c r="G142" s="3">
        <f t="shared" ca="1" si="13"/>
        <v>10</v>
      </c>
      <c r="H142" s="3">
        <f t="shared" ca="1" si="14"/>
        <v>5</v>
      </c>
      <c r="I142" t="str">
        <f t="shared" ca="1" si="15"/>
        <v/>
      </c>
      <c r="J142" t="str">
        <f t="shared" ca="1" si="16"/>
        <v/>
      </c>
      <c r="K142" t="str">
        <f t="shared" ca="1" si="17"/>
        <v/>
      </c>
      <c r="L142" t="str">
        <f t="shared" ca="1" si="18"/>
        <v/>
      </c>
    </row>
    <row r="143" spans="6:12" x14ac:dyDescent="0.2">
      <c r="F143">
        <v>141</v>
      </c>
      <c r="G143" s="3">
        <f t="shared" ca="1" si="13"/>
        <v>10</v>
      </c>
      <c r="H143" s="3">
        <f t="shared" ca="1" si="14"/>
        <v>6</v>
      </c>
      <c r="I143" t="str">
        <f t="shared" ca="1" si="15"/>
        <v/>
      </c>
      <c r="J143" t="str">
        <f t="shared" ca="1" si="16"/>
        <v/>
      </c>
      <c r="K143" t="str">
        <f t="shared" ca="1" si="17"/>
        <v/>
      </c>
      <c r="L143" t="str">
        <f t="shared" ca="1" si="18"/>
        <v/>
      </c>
    </row>
    <row r="144" spans="6:12" x14ac:dyDescent="0.2">
      <c r="F144">
        <v>142</v>
      </c>
      <c r="G144" s="3">
        <f t="shared" ca="1" si="13"/>
        <v>10</v>
      </c>
      <c r="H144" s="3">
        <f t="shared" ca="1" si="14"/>
        <v>7</v>
      </c>
      <c r="I144" t="str">
        <f t="shared" ca="1" si="15"/>
        <v/>
      </c>
      <c r="J144" t="str">
        <f t="shared" ca="1" si="16"/>
        <v/>
      </c>
      <c r="K144" t="str">
        <f t="shared" ca="1" si="17"/>
        <v/>
      </c>
      <c r="L144" t="str">
        <f t="shared" ca="1" si="18"/>
        <v/>
      </c>
    </row>
    <row r="145" spans="6:12" x14ac:dyDescent="0.2">
      <c r="F145">
        <v>143</v>
      </c>
      <c r="G145" s="3">
        <f t="shared" ca="1" si="13"/>
        <v>10</v>
      </c>
      <c r="H145" s="3">
        <f t="shared" ca="1" si="14"/>
        <v>8</v>
      </c>
      <c r="I145" t="str">
        <f t="shared" ca="1" si="15"/>
        <v/>
      </c>
      <c r="J145" t="str">
        <f t="shared" ca="1" si="16"/>
        <v/>
      </c>
      <c r="K145" t="str">
        <f t="shared" ca="1" si="17"/>
        <v/>
      </c>
      <c r="L145" t="str">
        <f t="shared" ca="1" si="18"/>
        <v/>
      </c>
    </row>
    <row r="146" spans="6:12" x14ac:dyDescent="0.2">
      <c r="F146">
        <v>144</v>
      </c>
      <c r="G146" s="3">
        <f t="shared" ca="1" si="13"/>
        <v>10</v>
      </c>
      <c r="H146" s="3">
        <f t="shared" ca="1" si="14"/>
        <v>9</v>
      </c>
      <c r="I146" t="str">
        <f t="shared" ca="1" si="15"/>
        <v/>
      </c>
      <c r="J146" t="str">
        <f t="shared" ca="1" si="16"/>
        <v/>
      </c>
      <c r="K146" t="str">
        <f t="shared" ca="1" si="17"/>
        <v/>
      </c>
      <c r="L146" t="str">
        <f t="shared" ca="1" si="18"/>
        <v/>
      </c>
    </row>
    <row r="147" spans="6:12" x14ac:dyDescent="0.2">
      <c r="F147">
        <v>145</v>
      </c>
      <c r="G147" s="3">
        <f t="shared" ca="1" si="13"/>
        <v>10</v>
      </c>
      <c r="H147" s="3">
        <f t="shared" ca="1" si="14"/>
        <v>10</v>
      </c>
      <c r="I147" t="str">
        <f t="shared" ca="1" si="15"/>
        <v/>
      </c>
      <c r="J147" t="str">
        <f t="shared" ca="1" si="16"/>
        <v/>
      </c>
      <c r="K147" t="str">
        <f t="shared" ca="1" si="17"/>
        <v/>
      </c>
      <c r="L147" t="str">
        <f t="shared" ca="1" si="18"/>
        <v/>
      </c>
    </row>
    <row r="148" spans="6:12" x14ac:dyDescent="0.2">
      <c r="F148">
        <v>146</v>
      </c>
      <c r="G148" s="3">
        <f t="shared" ca="1" si="13"/>
        <v>10</v>
      </c>
      <c r="H148" s="3">
        <f t="shared" ca="1" si="14"/>
        <v>11</v>
      </c>
      <c r="I148" t="str">
        <f t="shared" ca="1" si="15"/>
        <v/>
      </c>
      <c r="J148" t="str">
        <f t="shared" ca="1" si="16"/>
        <v/>
      </c>
      <c r="K148" t="str">
        <f t="shared" ca="1" si="17"/>
        <v/>
      </c>
      <c r="L148" t="str">
        <f t="shared" ca="1" si="18"/>
        <v/>
      </c>
    </row>
    <row r="149" spans="6:12" x14ac:dyDescent="0.2">
      <c r="F149">
        <v>147</v>
      </c>
      <c r="G149" s="3">
        <f t="shared" ca="1" si="13"/>
        <v>10</v>
      </c>
      <c r="H149" s="3">
        <f t="shared" ca="1" si="14"/>
        <v>12</v>
      </c>
      <c r="I149" t="str">
        <f t="shared" ca="1" si="15"/>
        <v/>
      </c>
      <c r="J149" t="str">
        <f t="shared" ca="1" si="16"/>
        <v/>
      </c>
      <c r="K149" t="str">
        <f t="shared" ca="1" si="17"/>
        <v/>
      </c>
      <c r="L149" t="str">
        <f t="shared" ca="1" si="18"/>
        <v/>
      </c>
    </row>
    <row r="150" spans="6:12" x14ac:dyDescent="0.2">
      <c r="F150">
        <v>148</v>
      </c>
      <c r="G150" s="3">
        <f t="shared" ca="1" si="13"/>
        <v>10</v>
      </c>
      <c r="H150" s="3">
        <f t="shared" ca="1" si="14"/>
        <v>13</v>
      </c>
      <c r="I150" t="str">
        <f t="shared" ca="1" si="15"/>
        <v/>
      </c>
      <c r="J150" t="str">
        <f t="shared" ca="1" si="16"/>
        <v/>
      </c>
      <c r="K150" t="str">
        <f t="shared" ca="1" si="17"/>
        <v/>
      </c>
      <c r="L150" t="str">
        <f t="shared" ca="1" si="18"/>
        <v/>
      </c>
    </row>
    <row r="151" spans="6:12" x14ac:dyDescent="0.2">
      <c r="F151">
        <v>149</v>
      </c>
      <c r="G151" s="3">
        <f t="shared" ca="1" si="13"/>
        <v>10</v>
      </c>
      <c r="H151" s="3">
        <f t="shared" ca="1" si="14"/>
        <v>14</v>
      </c>
      <c r="I151" t="str">
        <f t="shared" ca="1" si="15"/>
        <v/>
      </c>
      <c r="J151" t="str">
        <f t="shared" ca="1" si="16"/>
        <v/>
      </c>
      <c r="K151" t="str">
        <f t="shared" ca="1" si="17"/>
        <v/>
      </c>
      <c r="L151" t="str">
        <f t="shared" ca="1" si="18"/>
        <v/>
      </c>
    </row>
    <row r="152" spans="6:12" x14ac:dyDescent="0.2">
      <c r="F152">
        <v>150</v>
      </c>
      <c r="G152" s="3">
        <f t="shared" ca="1" si="13"/>
        <v>10</v>
      </c>
      <c r="H152" s="3">
        <f t="shared" ca="1" si="14"/>
        <v>15</v>
      </c>
      <c r="I152" t="str">
        <f t="shared" ca="1" si="15"/>
        <v/>
      </c>
      <c r="J152" t="str">
        <f t="shared" ca="1" si="16"/>
        <v/>
      </c>
      <c r="K152" t="str">
        <f t="shared" ca="1" si="17"/>
        <v/>
      </c>
      <c r="L152" t="str">
        <f t="shared" ca="1" si="18"/>
        <v/>
      </c>
    </row>
    <row r="153" spans="6:12" x14ac:dyDescent="0.2">
      <c r="F153">
        <v>151</v>
      </c>
      <c r="G153" s="3">
        <f t="shared" ca="1" si="13"/>
        <v>11</v>
      </c>
      <c r="H153" s="3">
        <f t="shared" ca="1" si="14"/>
        <v>1</v>
      </c>
      <c r="I153" t="str">
        <f t="shared" ca="1" si="15"/>
        <v/>
      </c>
      <c r="J153" t="str">
        <f t="shared" ca="1" si="16"/>
        <v/>
      </c>
      <c r="K153" t="str">
        <f t="shared" ca="1" si="17"/>
        <v/>
      </c>
      <c r="L153" t="str">
        <f t="shared" ca="1" si="18"/>
        <v/>
      </c>
    </row>
    <row r="154" spans="6:12" x14ac:dyDescent="0.2">
      <c r="F154">
        <v>152</v>
      </c>
      <c r="G154" s="3">
        <f t="shared" ca="1" si="13"/>
        <v>11</v>
      </c>
      <c r="H154" s="3">
        <f t="shared" ca="1" si="14"/>
        <v>2</v>
      </c>
      <c r="I154" t="str">
        <f t="shared" ca="1" si="15"/>
        <v/>
      </c>
      <c r="J154" t="str">
        <f t="shared" ca="1" si="16"/>
        <v/>
      </c>
      <c r="K154" t="str">
        <f t="shared" ca="1" si="17"/>
        <v/>
      </c>
      <c r="L154" t="str">
        <f t="shared" ca="1" si="18"/>
        <v/>
      </c>
    </row>
    <row r="155" spans="6:12" x14ac:dyDescent="0.2">
      <c r="F155">
        <v>153</v>
      </c>
      <c r="G155" s="3">
        <f t="shared" ca="1" si="13"/>
        <v>11</v>
      </c>
      <c r="H155" s="3">
        <f t="shared" ca="1" si="14"/>
        <v>3</v>
      </c>
      <c r="I155" t="str">
        <f t="shared" ca="1" si="15"/>
        <v/>
      </c>
      <c r="J155" t="str">
        <f t="shared" ca="1" si="16"/>
        <v/>
      </c>
      <c r="K155" t="str">
        <f t="shared" ca="1" si="17"/>
        <v/>
      </c>
      <c r="L155" t="str">
        <f t="shared" ca="1" si="18"/>
        <v/>
      </c>
    </row>
    <row r="156" spans="6:12" x14ac:dyDescent="0.2">
      <c r="F156">
        <v>154</v>
      </c>
      <c r="G156" s="3">
        <f t="shared" ca="1" si="13"/>
        <v>11</v>
      </c>
      <c r="H156" s="3">
        <f t="shared" ca="1" si="14"/>
        <v>4</v>
      </c>
      <c r="I156" t="str">
        <f t="shared" ca="1" si="15"/>
        <v/>
      </c>
      <c r="J156" t="str">
        <f t="shared" ca="1" si="16"/>
        <v/>
      </c>
      <c r="K156" t="str">
        <f t="shared" ca="1" si="17"/>
        <v/>
      </c>
      <c r="L156" t="str">
        <f t="shared" ca="1" si="18"/>
        <v/>
      </c>
    </row>
    <row r="157" spans="6:12" x14ac:dyDescent="0.2">
      <c r="F157">
        <v>155</v>
      </c>
      <c r="G157" s="3">
        <f t="shared" ca="1" si="13"/>
        <v>11</v>
      </c>
      <c r="H157" s="3">
        <f t="shared" ca="1" si="14"/>
        <v>5</v>
      </c>
      <c r="I157" t="str">
        <f t="shared" ca="1" si="15"/>
        <v/>
      </c>
      <c r="J157" t="str">
        <f t="shared" ca="1" si="16"/>
        <v/>
      </c>
      <c r="K157" t="str">
        <f t="shared" ca="1" si="17"/>
        <v/>
      </c>
      <c r="L157" t="str">
        <f t="shared" ca="1" si="18"/>
        <v/>
      </c>
    </row>
    <row r="158" spans="6:12" x14ac:dyDescent="0.2">
      <c r="F158">
        <v>156</v>
      </c>
      <c r="G158" s="3">
        <f t="shared" ca="1" si="13"/>
        <v>11</v>
      </c>
      <c r="H158" s="3">
        <f t="shared" ca="1" si="14"/>
        <v>6</v>
      </c>
      <c r="I158" t="str">
        <f t="shared" ca="1" si="15"/>
        <v/>
      </c>
      <c r="J158" t="str">
        <f t="shared" ca="1" si="16"/>
        <v/>
      </c>
      <c r="K158" t="str">
        <f t="shared" ca="1" si="17"/>
        <v/>
      </c>
      <c r="L158" t="str">
        <f t="shared" ca="1" si="18"/>
        <v/>
      </c>
    </row>
    <row r="159" spans="6:12" x14ac:dyDescent="0.2">
      <c r="F159">
        <v>157</v>
      </c>
      <c r="G159" s="3">
        <f t="shared" ca="1" si="13"/>
        <v>11</v>
      </c>
      <c r="H159" s="3">
        <f t="shared" ca="1" si="14"/>
        <v>7</v>
      </c>
      <c r="I159" t="str">
        <f t="shared" ca="1" si="15"/>
        <v/>
      </c>
      <c r="J159" t="str">
        <f t="shared" ca="1" si="16"/>
        <v/>
      </c>
      <c r="K159" t="str">
        <f t="shared" ca="1" si="17"/>
        <v/>
      </c>
      <c r="L159" t="str">
        <f t="shared" ca="1" si="18"/>
        <v/>
      </c>
    </row>
    <row r="160" spans="6:12" x14ac:dyDescent="0.2">
      <c r="F160">
        <v>158</v>
      </c>
      <c r="G160" s="3">
        <f t="shared" ca="1" si="13"/>
        <v>11</v>
      </c>
      <c r="H160" s="3">
        <f t="shared" ca="1" si="14"/>
        <v>8</v>
      </c>
      <c r="I160" t="str">
        <f t="shared" ca="1" si="15"/>
        <v/>
      </c>
      <c r="J160" t="str">
        <f t="shared" ca="1" si="16"/>
        <v/>
      </c>
      <c r="K160" t="str">
        <f t="shared" ca="1" si="17"/>
        <v/>
      </c>
      <c r="L160" t="str">
        <f t="shared" ca="1" si="18"/>
        <v/>
      </c>
    </row>
    <row r="161" spans="6:12" x14ac:dyDescent="0.2">
      <c r="F161">
        <v>159</v>
      </c>
      <c r="G161" s="3">
        <f t="shared" ca="1" si="13"/>
        <v>11</v>
      </c>
      <c r="H161" s="3">
        <f t="shared" ca="1" si="14"/>
        <v>9</v>
      </c>
      <c r="I161" t="str">
        <f t="shared" ca="1" si="15"/>
        <v/>
      </c>
      <c r="J161" t="str">
        <f t="shared" ca="1" si="16"/>
        <v/>
      </c>
      <c r="K161" t="str">
        <f t="shared" ca="1" si="17"/>
        <v/>
      </c>
      <c r="L161" t="str">
        <f t="shared" ca="1" si="18"/>
        <v/>
      </c>
    </row>
    <row r="162" spans="6:12" x14ac:dyDescent="0.2">
      <c r="F162">
        <v>160</v>
      </c>
      <c r="G162" s="3">
        <f t="shared" ca="1" si="13"/>
        <v>11</v>
      </c>
      <c r="H162" s="3">
        <f t="shared" ca="1" si="14"/>
        <v>10</v>
      </c>
      <c r="I162" t="str">
        <f t="shared" ca="1" si="15"/>
        <v/>
      </c>
      <c r="J162" t="str">
        <f t="shared" ca="1" si="16"/>
        <v/>
      </c>
      <c r="K162" t="str">
        <f t="shared" ca="1" si="17"/>
        <v/>
      </c>
      <c r="L162" t="str">
        <f t="shared" ca="1" si="18"/>
        <v/>
      </c>
    </row>
    <row r="163" spans="6:12" x14ac:dyDescent="0.2">
      <c r="F163">
        <v>161</v>
      </c>
      <c r="G163" s="3">
        <f t="shared" ca="1" si="13"/>
        <v>11</v>
      </c>
      <c r="H163" s="3">
        <f t="shared" ca="1" si="14"/>
        <v>11</v>
      </c>
      <c r="I163" t="str">
        <f t="shared" ca="1" si="15"/>
        <v/>
      </c>
      <c r="J163" t="str">
        <f t="shared" ca="1" si="16"/>
        <v/>
      </c>
      <c r="K163" t="str">
        <f t="shared" ca="1" si="17"/>
        <v/>
      </c>
      <c r="L163" t="str">
        <f t="shared" ca="1" si="18"/>
        <v/>
      </c>
    </row>
    <row r="164" spans="6:12" x14ac:dyDescent="0.2">
      <c r="F164">
        <v>162</v>
      </c>
      <c r="G164" s="3">
        <f t="shared" ca="1" si="13"/>
        <v>11</v>
      </c>
      <c r="H164" s="3">
        <f t="shared" ca="1" si="14"/>
        <v>12</v>
      </c>
      <c r="I164" t="str">
        <f t="shared" ca="1" si="15"/>
        <v/>
      </c>
      <c r="J164" t="str">
        <f t="shared" ca="1" si="16"/>
        <v/>
      </c>
      <c r="K164" t="str">
        <f t="shared" ca="1" si="17"/>
        <v/>
      </c>
      <c r="L164" t="str">
        <f t="shared" ca="1" si="18"/>
        <v/>
      </c>
    </row>
    <row r="165" spans="6:12" x14ac:dyDescent="0.2">
      <c r="F165">
        <v>163</v>
      </c>
      <c r="G165" s="3">
        <f t="shared" ca="1" si="13"/>
        <v>11</v>
      </c>
      <c r="H165" s="3">
        <f t="shared" ca="1" si="14"/>
        <v>13</v>
      </c>
      <c r="I165" t="str">
        <f t="shared" ca="1" si="15"/>
        <v/>
      </c>
      <c r="J165" t="str">
        <f t="shared" ca="1" si="16"/>
        <v/>
      </c>
      <c r="K165" t="str">
        <f t="shared" ca="1" si="17"/>
        <v/>
      </c>
      <c r="L165" t="str">
        <f t="shared" ca="1" si="18"/>
        <v/>
      </c>
    </row>
    <row r="166" spans="6:12" x14ac:dyDescent="0.2">
      <c r="F166">
        <v>164</v>
      </c>
      <c r="G166" s="3">
        <f t="shared" ca="1" si="13"/>
        <v>11</v>
      </c>
      <c r="H166" s="3">
        <f t="shared" ca="1" si="14"/>
        <v>14</v>
      </c>
      <c r="I166" t="str">
        <f t="shared" ca="1" si="15"/>
        <v/>
      </c>
      <c r="J166" t="str">
        <f t="shared" ca="1" si="16"/>
        <v/>
      </c>
      <c r="K166" t="str">
        <f t="shared" ca="1" si="17"/>
        <v/>
      </c>
      <c r="L166" t="str">
        <f t="shared" ca="1" si="18"/>
        <v/>
      </c>
    </row>
    <row r="167" spans="6:12" x14ac:dyDescent="0.2">
      <c r="F167">
        <v>165</v>
      </c>
      <c r="G167" s="3">
        <f t="shared" ca="1" si="13"/>
        <v>11</v>
      </c>
      <c r="H167" s="3">
        <f t="shared" ca="1" si="14"/>
        <v>15</v>
      </c>
      <c r="I167" t="str">
        <f t="shared" ca="1" si="15"/>
        <v/>
      </c>
      <c r="J167" t="str">
        <f t="shared" ca="1" si="16"/>
        <v/>
      </c>
      <c r="K167" t="str">
        <f t="shared" ca="1" si="17"/>
        <v/>
      </c>
      <c r="L167" t="str">
        <f t="shared" ca="1" si="18"/>
        <v/>
      </c>
    </row>
    <row r="168" spans="6:12" x14ac:dyDescent="0.2">
      <c r="F168">
        <v>166</v>
      </c>
      <c r="G168" s="3">
        <f t="shared" ca="1" si="13"/>
        <v>12</v>
      </c>
      <c r="H168" s="3">
        <f t="shared" ca="1" si="14"/>
        <v>1</v>
      </c>
      <c r="I168" t="str">
        <f t="shared" ca="1" si="15"/>
        <v/>
      </c>
      <c r="J168" t="str">
        <f t="shared" ca="1" si="16"/>
        <v/>
      </c>
      <c r="K168" t="str">
        <f t="shared" ca="1" si="17"/>
        <v/>
      </c>
      <c r="L168" t="str">
        <f t="shared" ca="1" si="18"/>
        <v/>
      </c>
    </row>
    <row r="169" spans="6:12" x14ac:dyDescent="0.2">
      <c r="F169">
        <v>167</v>
      </c>
      <c r="G169" s="3">
        <f t="shared" ca="1" si="13"/>
        <v>12</v>
      </c>
      <c r="H169" s="3">
        <f t="shared" ca="1" si="14"/>
        <v>2</v>
      </c>
      <c r="I169" t="str">
        <f t="shared" ca="1" si="15"/>
        <v/>
      </c>
      <c r="J169" t="str">
        <f t="shared" ca="1" si="16"/>
        <v/>
      </c>
      <c r="K169" t="str">
        <f t="shared" ca="1" si="17"/>
        <v/>
      </c>
      <c r="L169" t="str">
        <f t="shared" ca="1" si="18"/>
        <v/>
      </c>
    </row>
    <row r="170" spans="6:12" x14ac:dyDescent="0.2">
      <c r="F170">
        <v>168</v>
      </c>
      <c r="G170" s="3">
        <f t="shared" ca="1" si="13"/>
        <v>12</v>
      </c>
      <c r="H170" s="3">
        <f t="shared" ca="1" si="14"/>
        <v>3</v>
      </c>
      <c r="I170" t="str">
        <f t="shared" ca="1" si="15"/>
        <v/>
      </c>
      <c r="J170" t="str">
        <f t="shared" ca="1" si="16"/>
        <v/>
      </c>
      <c r="K170" t="str">
        <f t="shared" ca="1" si="17"/>
        <v/>
      </c>
      <c r="L170" t="str">
        <f t="shared" ca="1" si="18"/>
        <v/>
      </c>
    </row>
    <row r="171" spans="6:12" x14ac:dyDescent="0.2">
      <c r="F171">
        <v>169</v>
      </c>
      <c r="G171" s="3">
        <f t="shared" ca="1" si="13"/>
        <v>12</v>
      </c>
      <c r="H171" s="3">
        <f t="shared" ca="1" si="14"/>
        <v>4</v>
      </c>
      <c r="I171" t="str">
        <f t="shared" ca="1" si="15"/>
        <v/>
      </c>
      <c r="J171" t="str">
        <f t="shared" ca="1" si="16"/>
        <v/>
      </c>
      <c r="K171" t="str">
        <f t="shared" ca="1" si="17"/>
        <v/>
      </c>
      <c r="L171" t="str">
        <f t="shared" ca="1" si="18"/>
        <v/>
      </c>
    </row>
    <row r="172" spans="6:12" x14ac:dyDescent="0.2">
      <c r="F172">
        <v>170</v>
      </c>
      <c r="G172" s="3">
        <f t="shared" ca="1" si="13"/>
        <v>12</v>
      </c>
      <c r="H172" s="3">
        <f t="shared" ca="1" si="14"/>
        <v>5</v>
      </c>
      <c r="I172" t="str">
        <f t="shared" ca="1" si="15"/>
        <v/>
      </c>
      <c r="J172" t="str">
        <f t="shared" ca="1" si="16"/>
        <v/>
      </c>
      <c r="K172" t="str">
        <f t="shared" ca="1" si="17"/>
        <v/>
      </c>
      <c r="L172" t="str">
        <f t="shared" ca="1" si="18"/>
        <v/>
      </c>
    </row>
    <row r="173" spans="6:12" x14ac:dyDescent="0.2">
      <c r="F173">
        <v>171</v>
      </c>
      <c r="G173" s="3">
        <f t="shared" ca="1" si="13"/>
        <v>12</v>
      </c>
      <c r="H173" s="3">
        <f t="shared" ca="1" si="14"/>
        <v>6</v>
      </c>
      <c r="I173" t="str">
        <f t="shared" ca="1" si="15"/>
        <v/>
      </c>
      <c r="J173" t="str">
        <f t="shared" ca="1" si="16"/>
        <v/>
      </c>
      <c r="K173" t="str">
        <f t="shared" ca="1" si="17"/>
        <v/>
      </c>
      <c r="L173" t="str">
        <f t="shared" ca="1" si="18"/>
        <v/>
      </c>
    </row>
    <row r="174" spans="6:12" x14ac:dyDescent="0.2">
      <c r="F174">
        <v>172</v>
      </c>
      <c r="G174" s="3">
        <f t="shared" ca="1" si="13"/>
        <v>12</v>
      </c>
      <c r="H174" s="3">
        <f t="shared" ca="1" si="14"/>
        <v>7</v>
      </c>
      <c r="I174" t="str">
        <f t="shared" ca="1" si="15"/>
        <v/>
      </c>
      <c r="J174" t="str">
        <f t="shared" ca="1" si="16"/>
        <v/>
      </c>
      <c r="K174" t="str">
        <f t="shared" ca="1" si="17"/>
        <v/>
      </c>
      <c r="L174" t="str">
        <f t="shared" ca="1" si="18"/>
        <v/>
      </c>
    </row>
    <row r="175" spans="6:12" x14ac:dyDescent="0.2">
      <c r="F175">
        <v>173</v>
      </c>
      <c r="G175" s="3">
        <f t="shared" ca="1" si="13"/>
        <v>12</v>
      </c>
      <c r="H175" s="3">
        <f t="shared" ca="1" si="14"/>
        <v>8</v>
      </c>
      <c r="I175" t="str">
        <f t="shared" ca="1" si="15"/>
        <v/>
      </c>
      <c r="J175" t="str">
        <f t="shared" ca="1" si="16"/>
        <v/>
      </c>
      <c r="K175" t="str">
        <f t="shared" ca="1" si="17"/>
        <v/>
      </c>
      <c r="L175" t="str">
        <f t="shared" ca="1" si="18"/>
        <v/>
      </c>
    </row>
    <row r="176" spans="6:12" x14ac:dyDescent="0.2">
      <c r="F176">
        <v>174</v>
      </c>
      <c r="G176" s="3">
        <f t="shared" ca="1" si="13"/>
        <v>12</v>
      </c>
      <c r="H176" s="3">
        <f t="shared" ca="1" si="14"/>
        <v>9</v>
      </c>
      <c r="I176" t="str">
        <f t="shared" ca="1" si="15"/>
        <v/>
      </c>
      <c r="J176" t="str">
        <f t="shared" ca="1" si="16"/>
        <v/>
      </c>
      <c r="K176" t="str">
        <f t="shared" ca="1" si="17"/>
        <v/>
      </c>
      <c r="L176" t="str">
        <f t="shared" ca="1" si="18"/>
        <v/>
      </c>
    </row>
    <row r="177" spans="6:12" x14ac:dyDescent="0.2">
      <c r="F177">
        <v>175</v>
      </c>
      <c r="G177" s="3">
        <f t="shared" ca="1" si="13"/>
        <v>12</v>
      </c>
      <c r="H177" s="3">
        <f t="shared" ca="1" si="14"/>
        <v>10</v>
      </c>
      <c r="I177" t="str">
        <f t="shared" ca="1" si="15"/>
        <v/>
      </c>
      <c r="J177" t="str">
        <f t="shared" ca="1" si="16"/>
        <v/>
      </c>
      <c r="K177" t="str">
        <f t="shared" ca="1" si="17"/>
        <v/>
      </c>
      <c r="L177" t="str">
        <f t="shared" ca="1" si="18"/>
        <v/>
      </c>
    </row>
    <row r="178" spans="6:12" x14ac:dyDescent="0.2">
      <c r="F178">
        <v>176</v>
      </c>
      <c r="G178" s="3">
        <f t="shared" ca="1" si="13"/>
        <v>12</v>
      </c>
      <c r="H178" s="3">
        <f t="shared" ca="1" si="14"/>
        <v>11</v>
      </c>
      <c r="I178" t="str">
        <f t="shared" ca="1" si="15"/>
        <v/>
      </c>
      <c r="J178" t="str">
        <f t="shared" ca="1" si="16"/>
        <v/>
      </c>
      <c r="K178" t="str">
        <f t="shared" ca="1" si="17"/>
        <v/>
      </c>
      <c r="L178" t="str">
        <f t="shared" ca="1" si="18"/>
        <v/>
      </c>
    </row>
    <row r="179" spans="6:12" x14ac:dyDescent="0.2">
      <c r="F179">
        <v>177</v>
      </c>
      <c r="G179" s="3">
        <f t="shared" ca="1" si="13"/>
        <v>12</v>
      </c>
      <c r="H179" s="3">
        <f t="shared" ca="1" si="14"/>
        <v>12</v>
      </c>
      <c r="I179" t="str">
        <f t="shared" ca="1" si="15"/>
        <v/>
      </c>
      <c r="J179" t="str">
        <f t="shared" ca="1" si="16"/>
        <v/>
      </c>
      <c r="K179" t="str">
        <f t="shared" ca="1" si="17"/>
        <v/>
      </c>
      <c r="L179" t="str">
        <f t="shared" ca="1" si="18"/>
        <v/>
      </c>
    </row>
    <row r="180" spans="6:12" x14ac:dyDescent="0.2">
      <c r="F180">
        <v>178</v>
      </c>
      <c r="G180" s="3">
        <f t="shared" ca="1" si="13"/>
        <v>12</v>
      </c>
      <c r="H180" s="3">
        <f t="shared" ca="1" si="14"/>
        <v>13</v>
      </c>
      <c r="I180" t="str">
        <f t="shared" ca="1" si="15"/>
        <v/>
      </c>
      <c r="J180" t="str">
        <f t="shared" ca="1" si="16"/>
        <v/>
      </c>
      <c r="K180" t="str">
        <f t="shared" ca="1" si="17"/>
        <v/>
      </c>
      <c r="L180" t="str">
        <f t="shared" ca="1" si="18"/>
        <v/>
      </c>
    </row>
    <row r="181" spans="6:12" x14ac:dyDescent="0.2">
      <c r="F181">
        <v>179</v>
      </c>
      <c r="G181" s="3">
        <f t="shared" ca="1" si="13"/>
        <v>12</v>
      </c>
      <c r="H181" s="3">
        <f t="shared" ca="1" si="14"/>
        <v>14</v>
      </c>
      <c r="I181" t="str">
        <f t="shared" ca="1" si="15"/>
        <v/>
      </c>
      <c r="J181" t="str">
        <f t="shared" ca="1" si="16"/>
        <v/>
      </c>
      <c r="K181" t="str">
        <f t="shared" ca="1" si="17"/>
        <v/>
      </c>
      <c r="L181" t="str">
        <f t="shared" ca="1" si="18"/>
        <v/>
      </c>
    </row>
    <row r="182" spans="6:12" x14ac:dyDescent="0.2">
      <c r="F182">
        <v>180</v>
      </c>
      <c r="G182" s="3">
        <f t="shared" ca="1" si="13"/>
        <v>12</v>
      </c>
      <c r="H182" s="3">
        <f t="shared" ca="1" si="14"/>
        <v>15</v>
      </c>
      <c r="I182" t="str">
        <f t="shared" ca="1" si="15"/>
        <v/>
      </c>
      <c r="J182" t="str">
        <f t="shared" ca="1" si="16"/>
        <v/>
      </c>
      <c r="K182" t="str">
        <f t="shared" ca="1" si="17"/>
        <v/>
      </c>
      <c r="L182" t="str">
        <f t="shared" ca="1" si="18"/>
        <v/>
      </c>
    </row>
    <row r="183" spans="6:12" x14ac:dyDescent="0.2">
      <c r="F183">
        <v>181</v>
      </c>
      <c r="G183" s="3">
        <f t="shared" ca="1" si="13"/>
        <v>13</v>
      </c>
      <c r="H183" s="3">
        <f t="shared" ca="1" si="14"/>
        <v>1</v>
      </c>
      <c r="I183" t="str">
        <f t="shared" ca="1" si="15"/>
        <v/>
      </c>
      <c r="J183" t="str">
        <f t="shared" ca="1" si="16"/>
        <v/>
      </c>
      <c r="K183" t="str">
        <f t="shared" ca="1" si="17"/>
        <v/>
      </c>
      <c r="L183" t="str">
        <f t="shared" ca="1" si="18"/>
        <v/>
      </c>
    </row>
    <row r="184" spans="6:12" x14ac:dyDescent="0.2">
      <c r="F184">
        <v>182</v>
      </c>
      <c r="G184" s="3">
        <f t="shared" ca="1" si="13"/>
        <v>13</v>
      </c>
      <c r="H184" s="3">
        <f t="shared" ca="1" si="14"/>
        <v>2</v>
      </c>
      <c r="I184" t="str">
        <f t="shared" ca="1" si="15"/>
        <v/>
      </c>
      <c r="J184" t="str">
        <f t="shared" ca="1" si="16"/>
        <v/>
      </c>
      <c r="K184" t="str">
        <f t="shared" ca="1" si="17"/>
        <v/>
      </c>
      <c r="L184" t="str">
        <f t="shared" ca="1" si="18"/>
        <v/>
      </c>
    </row>
    <row r="185" spans="6:12" x14ac:dyDescent="0.2">
      <c r="F185">
        <v>183</v>
      </c>
      <c r="G185" s="3">
        <f t="shared" ca="1" si="13"/>
        <v>13</v>
      </c>
      <c r="H185" s="3">
        <f t="shared" ca="1" si="14"/>
        <v>3</v>
      </c>
      <c r="I185" t="str">
        <f t="shared" ca="1" si="15"/>
        <v/>
      </c>
      <c r="J185" t="str">
        <f t="shared" ca="1" si="16"/>
        <v/>
      </c>
      <c r="K185" t="str">
        <f t="shared" ca="1" si="17"/>
        <v/>
      </c>
      <c r="L185" t="str">
        <f t="shared" ca="1" si="18"/>
        <v/>
      </c>
    </row>
    <row r="186" spans="6:12" x14ac:dyDescent="0.2">
      <c r="F186">
        <v>184</v>
      </c>
      <c r="G186" s="3">
        <f t="shared" ca="1" si="13"/>
        <v>13</v>
      </c>
      <c r="H186" s="3">
        <f t="shared" ca="1" si="14"/>
        <v>4</v>
      </c>
      <c r="I186" t="str">
        <f t="shared" ca="1" si="15"/>
        <v/>
      </c>
      <c r="J186" t="str">
        <f t="shared" ca="1" si="16"/>
        <v/>
      </c>
      <c r="K186" t="str">
        <f t="shared" ca="1" si="17"/>
        <v/>
      </c>
      <c r="L186" t="str">
        <f t="shared" ca="1" si="18"/>
        <v/>
      </c>
    </row>
    <row r="187" spans="6:12" x14ac:dyDescent="0.2">
      <c r="F187">
        <v>185</v>
      </c>
      <c r="G187" s="3">
        <f t="shared" ca="1" si="13"/>
        <v>13</v>
      </c>
      <c r="H187" s="3">
        <f t="shared" ca="1" si="14"/>
        <v>5</v>
      </c>
      <c r="I187" t="str">
        <f t="shared" ca="1" si="15"/>
        <v/>
      </c>
      <c r="J187" t="str">
        <f t="shared" ca="1" si="16"/>
        <v/>
      </c>
      <c r="K187" t="str">
        <f t="shared" ca="1" si="17"/>
        <v/>
      </c>
      <c r="L187" t="str">
        <f t="shared" ca="1" si="18"/>
        <v/>
      </c>
    </row>
    <row r="188" spans="6:12" x14ac:dyDescent="0.2">
      <c r="F188">
        <v>186</v>
      </c>
      <c r="G188" s="3">
        <f t="shared" ca="1" si="13"/>
        <v>13</v>
      </c>
      <c r="H188" s="3">
        <f t="shared" ca="1" si="14"/>
        <v>6</v>
      </c>
      <c r="I188" t="str">
        <f t="shared" ca="1" si="15"/>
        <v/>
      </c>
      <c r="J188" t="str">
        <f t="shared" ca="1" si="16"/>
        <v/>
      </c>
      <c r="K188" t="str">
        <f t="shared" ca="1" si="17"/>
        <v/>
      </c>
      <c r="L188" t="str">
        <f t="shared" ca="1" si="18"/>
        <v/>
      </c>
    </row>
    <row r="189" spans="6:12" x14ac:dyDescent="0.2">
      <c r="F189">
        <v>187</v>
      </c>
      <c r="G189" s="3">
        <f t="shared" ca="1" si="13"/>
        <v>13</v>
      </c>
      <c r="H189" s="3">
        <f t="shared" ca="1" si="14"/>
        <v>7</v>
      </c>
      <c r="I189" t="str">
        <f t="shared" ca="1" si="15"/>
        <v/>
      </c>
      <c r="J189" t="str">
        <f t="shared" ca="1" si="16"/>
        <v/>
      </c>
      <c r="K189" t="str">
        <f t="shared" ca="1" si="17"/>
        <v/>
      </c>
      <c r="L189" t="str">
        <f t="shared" ca="1" si="18"/>
        <v/>
      </c>
    </row>
    <row r="190" spans="6:12" x14ac:dyDescent="0.2">
      <c r="F190">
        <v>188</v>
      </c>
      <c r="G190" s="3">
        <f t="shared" ca="1" si="13"/>
        <v>13</v>
      </c>
      <c r="H190" s="3">
        <f t="shared" ca="1" si="14"/>
        <v>8</v>
      </c>
      <c r="I190" t="str">
        <f t="shared" ca="1" si="15"/>
        <v/>
      </c>
      <c r="J190" t="str">
        <f t="shared" ca="1" si="16"/>
        <v/>
      </c>
      <c r="K190" t="str">
        <f t="shared" ca="1" si="17"/>
        <v/>
      </c>
      <c r="L190" t="str">
        <f t="shared" ca="1" si="18"/>
        <v/>
      </c>
    </row>
    <row r="191" spans="6:12" x14ac:dyDescent="0.2">
      <c r="F191">
        <v>189</v>
      </c>
      <c r="G191" s="3">
        <f t="shared" ca="1" si="13"/>
        <v>13</v>
      </c>
      <c r="H191" s="3">
        <f t="shared" ca="1" si="14"/>
        <v>9</v>
      </c>
      <c r="I191" t="str">
        <f t="shared" ca="1" si="15"/>
        <v/>
      </c>
      <c r="J191" t="str">
        <f t="shared" ca="1" si="16"/>
        <v/>
      </c>
      <c r="K191" t="str">
        <f t="shared" ca="1" si="17"/>
        <v/>
      </c>
      <c r="L191" t="str">
        <f t="shared" ca="1" si="18"/>
        <v/>
      </c>
    </row>
    <row r="192" spans="6:12" x14ac:dyDescent="0.2">
      <c r="F192">
        <v>190</v>
      </c>
      <c r="G192" s="3">
        <f t="shared" ca="1" si="13"/>
        <v>13</v>
      </c>
      <c r="H192" s="3">
        <f t="shared" ca="1" si="14"/>
        <v>10</v>
      </c>
      <c r="I192" t="str">
        <f t="shared" ca="1" si="15"/>
        <v/>
      </c>
      <c r="J192" t="str">
        <f t="shared" ca="1" si="16"/>
        <v/>
      </c>
      <c r="K192" t="str">
        <f t="shared" ca="1" si="17"/>
        <v/>
      </c>
      <c r="L192" t="str">
        <f t="shared" ca="1" si="18"/>
        <v/>
      </c>
    </row>
    <row r="193" spans="6:12" x14ac:dyDescent="0.2">
      <c r="F193">
        <v>191</v>
      </c>
      <c r="G193" s="3">
        <f t="shared" ca="1" si="13"/>
        <v>13</v>
      </c>
      <c r="H193" s="3">
        <f t="shared" ca="1" si="14"/>
        <v>11</v>
      </c>
      <c r="I193" t="str">
        <f t="shared" ca="1" si="15"/>
        <v/>
      </c>
      <c r="J193" t="str">
        <f t="shared" ca="1" si="16"/>
        <v/>
      </c>
      <c r="K193" t="str">
        <f t="shared" ca="1" si="17"/>
        <v/>
      </c>
      <c r="L193" t="str">
        <f t="shared" ca="1" si="18"/>
        <v/>
      </c>
    </row>
    <row r="194" spans="6:12" x14ac:dyDescent="0.2">
      <c r="F194">
        <v>192</v>
      </c>
      <c r="G194" s="3">
        <f t="shared" ca="1" si="13"/>
        <v>13</v>
      </c>
      <c r="H194" s="3">
        <f t="shared" ca="1" si="14"/>
        <v>12</v>
      </c>
      <c r="I194" t="str">
        <f t="shared" ca="1" si="15"/>
        <v/>
      </c>
      <c r="J194" t="str">
        <f t="shared" ca="1" si="16"/>
        <v/>
      </c>
      <c r="K194" t="str">
        <f t="shared" ca="1" si="17"/>
        <v/>
      </c>
      <c r="L194" t="str">
        <f t="shared" ca="1" si="18"/>
        <v/>
      </c>
    </row>
    <row r="195" spans="6:12" x14ac:dyDescent="0.2">
      <c r="F195">
        <v>193</v>
      </c>
      <c r="G195" s="3">
        <f t="shared" ref="G195:G258" ca="1" si="19">IF(OR($F195&gt;N,G$2&gt;N_LISTS),"",QUOTIENT($F195-(QUOTIENT($F195,N)*N),N_1)
+IF(MOD($F195-(QUOTIENT($F195,N)*N),N_1)=0,0,1)
+IF(MOD($F195,N)=0,C_L1,0))</f>
        <v>13</v>
      </c>
      <c r="H195" s="3">
        <f t="shared" ref="H195:H258" ca="1" si="20">IF(OR($F195&gt;N,H$2&gt;N_LISTS),"",QUOTIENT($F195-(QUOTIENT($F195,N_1)*N_1),N_2)
+IF(MOD($F195-(QUOTIENT($F195,N_1)*N_1),N_2)=0,0,1)
+IF(MOD($F195,N_1)=0,C_L2,0))</f>
        <v>13</v>
      </c>
      <c r="I195" t="str">
        <f t="shared" ref="I195:I258" ca="1" si="21">IF(OR($F195&gt;N,I$2&gt;N_LISTS),"",QUOTIENT($F195-(QUOTIENT($F195,N_2)*N_2),N_3)
+IF(MOD($F195-(QUOTIENT($F195,N_2)*N_2),N_3)=0,0,1)
+IF(MOD($F195,N_2)=0,C_L3,0))</f>
        <v/>
      </c>
      <c r="J195" t="str">
        <f t="shared" ref="J195:J258" ca="1" si="22">IF(OR($F195&gt;N,J$2&gt;N_LISTS),"",QUOTIENT($F195-(QUOTIENT($F195,N_3)*N_3),N_4)
+IF(MOD($F195-(QUOTIENT($F195,N_3)*N_3),N_4)=0,0,1)
+IF(MOD($F195,N_3)=0,C_L4,0))</f>
        <v/>
      </c>
      <c r="K195" t="str">
        <f t="shared" ref="K195:K258" ca="1" si="23">IF(OR($F195&gt;N,K$2&gt;N_LISTS),"",QUOTIENT($F195-(QUOTIENT($F195,N_4)*N_4),N_5)
+IF(MOD($F195-(QUOTIENT($F195,N_4)*N_4),N_5)=0,0,1)
+IF(MOD($F195,N_4)=0,C_L5,0))</f>
        <v/>
      </c>
      <c r="L195" t="str">
        <f t="shared" ref="L195:L258" ca="1" si="24">IF(OR($F195&gt;N,L$2&gt;N_LISTS),"",QUOTIENT($F195-(QUOTIENT($F195,N_5)*N_5),1)
+IF(MOD($F195-(QUOTIENT($F195,N_5)*N_5),1)=0,0,1)
+IF(MOD($F195,N_5)=0,C_L6,0))</f>
        <v/>
      </c>
    </row>
    <row r="196" spans="6:12" x14ac:dyDescent="0.2">
      <c r="F196">
        <v>194</v>
      </c>
      <c r="G196" s="3">
        <f t="shared" ca="1" si="19"/>
        <v>13</v>
      </c>
      <c r="H196" s="3">
        <f t="shared" ca="1" si="20"/>
        <v>14</v>
      </c>
      <c r="I196" t="str">
        <f t="shared" ca="1" si="21"/>
        <v/>
      </c>
      <c r="J196" t="str">
        <f t="shared" ca="1" si="22"/>
        <v/>
      </c>
      <c r="K196" t="str">
        <f t="shared" ca="1" si="23"/>
        <v/>
      </c>
      <c r="L196" t="str">
        <f t="shared" ca="1" si="24"/>
        <v/>
      </c>
    </row>
    <row r="197" spans="6:12" x14ac:dyDescent="0.2">
      <c r="F197">
        <v>195</v>
      </c>
      <c r="G197" s="3">
        <f t="shared" ca="1" si="19"/>
        <v>13</v>
      </c>
      <c r="H197" s="3">
        <f t="shared" ca="1" si="20"/>
        <v>15</v>
      </c>
      <c r="I197" t="str">
        <f t="shared" ca="1" si="21"/>
        <v/>
      </c>
      <c r="J197" t="str">
        <f t="shared" ca="1" si="22"/>
        <v/>
      </c>
      <c r="K197" t="str">
        <f t="shared" ca="1" si="23"/>
        <v/>
      </c>
      <c r="L197" t="str">
        <f t="shared" ca="1" si="24"/>
        <v/>
      </c>
    </row>
    <row r="198" spans="6:12" x14ac:dyDescent="0.2">
      <c r="F198">
        <v>196</v>
      </c>
      <c r="G198" s="3">
        <f t="shared" ca="1" si="19"/>
        <v>14</v>
      </c>
      <c r="H198" s="3">
        <f t="shared" ca="1" si="20"/>
        <v>1</v>
      </c>
      <c r="I198" t="str">
        <f t="shared" ca="1" si="21"/>
        <v/>
      </c>
      <c r="J198" t="str">
        <f t="shared" ca="1" si="22"/>
        <v/>
      </c>
      <c r="K198" t="str">
        <f t="shared" ca="1" si="23"/>
        <v/>
      </c>
      <c r="L198" t="str">
        <f t="shared" ca="1" si="24"/>
        <v/>
      </c>
    </row>
    <row r="199" spans="6:12" x14ac:dyDescent="0.2">
      <c r="F199">
        <v>197</v>
      </c>
      <c r="G199" s="3">
        <f t="shared" ca="1" si="19"/>
        <v>14</v>
      </c>
      <c r="H199" s="3">
        <f t="shared" ca="1" si="20"/>
        <v>2</v>
      </c>
      <c r="I199" t="str">
        <f t="shared" ca="1" si="21"/>
        <v/>
      </c>
      <c r="J199" t="str">
        <f t="shared" ca="1" si="22"/>
        <v/>
      </c>
      <c r="K199" t="str">
        <f t="shared" ca="1" si="23"/>
        <v/>
      </c>
      <c r="L199" t="str">
        <f t="shared" ca="1" si="24"/>
        <v/>
      </c>
    </row>
    <row r="200" spans="6:12" x14ac:dyDescent="0.2">
      <c r="F200">
        <v>198</v>
      </c>
      <c r="G200" s="3">
        <f t="shared" ca="1" si="19"/>
        <v>14</v>
      </c>
      <c r="H200" s="3">
        <f t="shared" ca="1" si="20"/>
        <v>3</v>
      </c>
      <c r="I200" t="str">
        <f t="shared" ca="1" si="21"/>
        <v/>
      </c>
      <c r="J200" t="str">
        <f t="shared" ca="1" si="22"/>
        <v/>
      </c>
      <c r="K200" t="str">
        <f t="shared" ca="1" si="23"/>
        <v/>
      </c>
      <c r="L200" t="str">
        <f t="shared" ca="1" si="24"/>
        <v/>
      </c>
    </row>
    <row r="201" spans="6:12" x14ac:dyDescent="0.2">
      <c r="F201">
        <v>199</v>
      </c>
      <c r="G201" s="3">
        <f t="shared" ca="1" si="19"/>
        <v>14</v>
      </c>
      <c r="H201" s="3">
        <f t="shared" ca="1" si="20"/>
        <v>4</v>
      </c>
      <c r="I201" t="str">
        <f t="shared" ca="1" si="21"/>
        <v/>
      </c>
      <c r="J201" t="str">
        <f t="shared" ca="1" si="22"/>
        <v/>
      </c>
      <c r="K201" t="str">
        <f t="shared" ca="1" si="23"/>
        <v/>
      </c>
      <c r="L201" t="str">
        <f t="shared" ca="1" si="24"/>
        <v/>
      </c>
    </row>
    <row r="202" spans="6:12" x14ac:dyDescent="0.2">
      <c r="F202">
        <v>200</v>
      </c>
      <c r="G202" s="3">
        <f t="shared" ca="1" si="19"/>
        <v>14</v>
      </c>
      <c r="H202" s="3">
        <f t="shared" ca="1" si="20"/>
        <v>5</v>
      </c>
      <c r="I202" t="str">
        <f t="shared" ca="1" si="21"/>
        <v/>
      </c>
      <c r="J202" t="str">
        <f t="shared" ca="1" si="22"/>
        <v/>
      </c>
      <c r="K202" t="str">
        <f t="shared" ca="1" si="23"/>
        <v/>
      </c>
      <c r="L202" t="str">
        <f t="shared" ca="1" si="24"/>
        <v/>
      </c>
    </row>
    <row r="203" spans="6:12" x14ac:dyDescent="0.2">
      <c r="F203">
        <v>201</v>
      </c>
      <c r="G203" s="3">
        <f t="shared" ca="1" si="19"/>
        <v>14</v>
      </c>
      <c r="H203" s="3">
        <f t="shared" ca="1" si="20"/>
        <v>6</v>
      </c>
      <c r="I203" t="str">
        <f t="shared" ca="1" si="21"/>
        <v/>
      </c>
      <c r="J203" t="str">
        <f t="shared" ca="1" si="22"/>
        <v/>
      </c>
      <c r="K203" t="str">
        <f t="shared" ca="1" si="23"/>
        <v/>
      </c>
      <c r="L203" t="str">
        <f t="shared" ca="1" si="24"/>
        <v/>
      </c>
    </row>
    <row r="204" spans="6:12" x14ac:dyDescent="0.2">
      <c r="F204">
        <v>202</v>
      </c>
      <c r="G204" s="3">
        <f t="shared" ca="1" si="19"/>
        <v>14</v>
      </c>
      <c r="H204" s="3">
        <f t="shared" ca="1" si="20"/>
        <v>7</v>
      </c>
      <c r="I204" t="str">
        <f t="shared" ca="1" si="21"/>
        <v/>
      </c>
      <c r="J204" t="str">
        <f t="shared" ca="1" si="22"/>
        <v/>
      </c>
      <c r="K204" t="str">
        <f t="shared" ca="1" si="23"/>
        <v/>
      </c>
      <c r="L204" t="str">
        <f t="shared" ca="1" si="24"/>
        <v/>
      </c>
    </row>
    <row r="205" spans="6:12" x14ac:dyDescent="0.2">
      <c r="F205">
        <v>203</v>
      </c>
      <c r="G205" s="3">
        <f t="shared" ca="1" si="19"/>
        <v>14</v>
      </c>
      <c r="H205" s="3">
        <f t="shared" ca="1" si="20"/>
        <v>8</v>
      </c>
      <c r="I205" t="str">
        <f t="shared" ca="1" si="21"/>
        <v/>
      </c>
      <c r="J205" t="str">
        <f t="shared" ca="1" si="22"/>
        <v/>
      </c>
      <c r="K205" t="str">
        <f t="shared" ca="1" si="23"/>
        <v/>
      </c>
      <c r="L205" t="str">
        <f t="shared" ca="1" si="24"/>
        <v/>
      </c>
    </row>
    <row r="206" spans="6:12" x14ac:dyDescent="0.2">
      <c r="F206">
        <v>204</v>
      </c>
      <c r="G206" s="3">
        <f t="shared" ca="1" si="19"/>
        <v>14</v>
      </c>
      <c r="H206" s="3">
        <f t="shared" ca="1" si="20"/>
        <v>9</v>
      </c>
      <c r="I206" t="str">
        <f t="shared" ca="1" si="21"/>
        <v/>
      </c>
      <c r="J206" t="str">
        <f t="shared" ca="1" si="22"/>
        <v/>
      </c>
      <c r="K206" t="str">
        <f t="shared" ca="1" si="23"/>
        <v/>
      </c>
      <c r="L206" t="str">
        <f t="shared" ca="1" si="24"/>
        <v/>
      </c>
    </row>
    <row r="207" spans="6:12" x14ac:dyDescent="0.2">
      <c r="F207">
        <v>205</v>
      </c>
      <c r="G207" s="3">
        <f t="shared" ca="1" si="19"/>
        <v>14</v>
      </c>
      <c r="H207" s="3">
        <f t="shared" ca="1" si="20"/>
        <v>10</v>
      </c>
      <c r="I207" t="str">
        <f t="shared" ca="1" si="21"/>
        <v/>
      </c>
      <c r="J207" t="str">
        <f t="shared" ca="1" si="22"/>
        <v/>
      </c>
      <c r="K207" t="str">
        <f t="shared" ca="1" si="23"/>
        <v/>
      </c>
      <c r="L207" t="str">
        <f t="shared" ca="1" si="24"/>
        <v/>
      </c>
    </row>
    <row r="208" spans="6:12" x14ac:dyDescent="0.2">
      <c r="F208">
        <v>206</v>
      </c>
      <c r="G208" s="3">
        <f t="shared" ca="1" si="19"/>
        <v>14</v>
      </c>
      <c r="H208" s="3">
        <f t="shared" ca="1" si="20"/>
        <v>11</v>
      </c>
      <c r="I208" t="str">
        <f t="shared" ca="1" si="21"/>
        <v/>
      </c>
      <c r="J208" t="str">
        <f t="shared" ca="1" si="22"/>
        <v/>
      </c>
      <c r="K208" t="str">
        <f t="shared" ca="1" si="23"/>
        <v/>
      </c>
      <c r="L208" t="str">
        <f t="shared" ca="1" si="24"/>
        <v/>
      </c>
    </row>
    <row r="209" spans="6:12" x14ac:dyDescent="0.2">
      <c r="F209">
        <v>207</v>
      </c>
      <c r="G209" s="3">
        <f t="shared" ca="1" si="19"/>
        <v>14</v>
      </c>
      <c r="H209" s="3">
        <f t="shared" ca="1" si="20"/>
        <v>12</v>
      </c>
      <c r="I209" t="str">
        <f t="shared" ca="1" si="21"/>
        <v/>
      </c>
      <c r="J209" t="str">
        <f t="shared" ca="1" si="22"/>
        <v/>
      </c>
      <c r="K209" t="str">
        <f t="shared" ca="1" si="23"/>
        <v/>
      </c>
      <c r="L209" t="str">
        <f t="shared" ca="1" si="24"/>
        <v/>
      </c>
    </row>
    <row r="210" spans="6:12" x14ac:dyDescent="0.2">
      <c r="F210">
        <v>208</v>
      </c>
      <c r="G210" s="3">
        <f t="shared" ca="1" si="19"/>
        <v>14</v>
      </c>
      <c r="H210" s="3">
        <f t="shared" ca="1" si="20"/>
        <v>13</v>
      </c>
      <c r="I210" t="str">
        <f t="shared" ca="1" si="21"/>
        <v/>
      </c>
      <c r="J210" t="str">
        <f t="shared" ca="1" si="22"/>
        <v/>
      </c>
      <c r="K210" t="str">
        <f t="shared" ca="1" si="23"/>
        <v/>
      </c>
      <c r="L210" t="str">
        <f t="shared" ca="1" si="24"/>
        <v/>
      </c>
    </row>
    <row r="211" spans="6:12" x14ac:dyDescent="0.2">
      <c r="F211">
        <v>209</v>
      </c>
      <c r="G211" s="3">
        <f t="shared" ca="1" si="19"/>
        <v>14</v>
      </c>
      <c r="H211" s="3">
        <f t="shared" ca="1" si="20"/>
        <v>14</v>
      </c>
      <c r="I211" t="str">
        <f t="shared" ca="1" si="21"/>
        <v/>
      </c>
      <c r="J211" t="str">
        <f t="shared" ca="1" si="22"/>
        <v/>
      </c>
      <c r="K211" t="str">
        <f t="shared" ca="1" si="23"/>
        <v/>
      </c>
      <c r="L211" t="str">
        <f t="shared" ca="1" si="24"/>
        <v/>
      </c>
    </row>
    <row r="212" spans="6:12" x14ac:dyDescent="0.2">
      <c r="F212">
        <v>210</v>
      </c>
      <c r="G212" s="3">
        <f t="shared" ca="1" si="19"/>
        <v>14</v>
      </c>
      <c r="H212" s="3">
        <f t="shared" ca="1" si="20"/>
        <v>15</v>
      </c>
      <c r="I212" t="str">
        <f t="shared" ca="1" si="21"/>
        <v/>
      </c>
      <c r="J212" t="str">
        <f t="shared" ca="1" si="22"/>
        <v/>
      </c>
      <c r="K212" t="str">
        <f t="shared" ca="1" si="23"/>
        <v/>
      </c>
      <c r="L212" t="str">
        <f t="shared" ca="1" si="24"/>
        <v/>
      </c>
    </row>
    <row r="213" spans="6:12" x14ac:dyDescent="0.2">
      <c r="F213">
        <v>211</v>
      </c>
      <c r="G213" s="3" t="str">
        <f t="shared" ca="1" si="19"/>
        <v/>
      </c>
      <c r="H213" s="3" t="str">
        <f t="shared" ca="1" si="20"/>
        <v/>
      </c>
      <c r="I213" t="str">
        <f t="shared" ca="1" si="21"/>
        <v/>
      </c>
      <c r="J213" t="str">
        <f t="shared" ca="1" si="22"/>
        <v/>
      </c>
      <c r="K213" t="str">
        <f t="shared" ca="1" si="23"/>
        <v/>
      </c>
      <c r="L213" t="str">
        <f t="shared" ca="1" si="24"/>
        <v/>
      </c>
    </row>
    <row r="214" spans="6:12" x14ac:dyDescent="0.2">
      <c r="F214">
        <v>212</v>
      </c>
      <c r="G214" s="3" t="str">
        <f t="shared" ca="1" si="19"/>
        <v/>
      </c>
      <c r="H214" s="3" t="str">
        <f t="shared" ca="1" si="20"/>
        <v/>
      </c>
      <c r="I214" t="str">
        <f t="shared" ca="1" si="21"/>
        <v/>
      </c>
      <c r="J214" t="str">
        <f t="shared" ca="1" si="22"/>
        <v/>
      </c>
      <c r="K214" t="str">
        <f t="shared" ca="1" si="23"/>
        <v/>
      </c>
      <c r="L214" t="str">
        <f t="shared" ca="1" si="24"/>
        <v/>
      </c>
    </row>
    <row r="215" spans="6:12" x14ac:dyDescent="0.2">
      <c r="F215">
        <v>213</v>
      </c>
      <c r="G215" s="3" t="str">
        <f t="shared" ca="1" si="19"/>
        <v/>
      </c>
      <c r="H215" s="3" t="str">
        <f t="shared" ca="1" si="20"/>
        <v/>
      </c>
      <c r="I215" t="str">
        <f t="shared" ca="1" si="21"/>
        <v/>
      </c>
      <c r="J215" t="str">
        <f t="shared" ca="1" si="22"/>
        <v/>
      </c>
      <c r="K215" t="str">
        <f t="shared" ca="1" si="23"/>
        <v/>
      </c>
      <c r="L215" t="str">
        <f t="shared" ca="1" si="24"/>
        <v/>
      </c>
    </row>
    <row r="216" spans="6:12" x14ac:dyDescent="0.2">
      <c r="F216">
        <v>214</v>
      </c>
      <c r="G216" s="3" t="str">
        <f t="shared" ca="1" si="19"/>
        <v/>
      </c>
      <c r="H216" s="3" t="str">
        <f t="shared" ca="1" si="20"/>
        <v/>
      </c>
      <c r="I216" t="str">
        <f t="shared" ca="1" si="21"/>
        <v/>
      </c>
      <c r="J216" t="str">
        <f t="shared" ca="1" si="22"/>
        <v/>
      </c>
      <c r="K216" t="str">
        <f t="shared" ca="1" si="23"/>
        <v/>
      </c>
      <c r="L216" t="str">
        <f t="shared" ca="1" si="24"/>
        <v/>
      </c>
    </row>
    <row r="217" spans="6:12" x14ac:dyDescent="0.2">
      <c r="F217">
        <v>215</v>
      </c>
      <c r="G217" s="3" t="str">
        <f t="shared" ca="1" si="19"/>
        <v/>
      </c>
      <c r="H217" s="3" t="str">
        <f t="shared" ca="1" si="20"/>
        <v/>
      </c>
      <c r="I217" t="str">
        <f t="shared" ca="1" si="21"/>
        <v/>
      </c>
      <c r="J217" t="str">
        <f t="shared" ca="1" si="22"/>
        <v/>
      </c>
      <c r="K217" t="str">
        <f t="shared" ca="1" si="23"/>
        <v/>
      </c>
      <c r="L217" t="str">
        <f t="shared" ca="1" si="24"/>
        <v/>
      </c>
    </row>
    <row r="218" spans="6:12" x14ac:dyDescent="0.2">
      <c r="F218">
        <v>216</v>
      </c>
      <c r="G218" s="3" t="str">
        <f t="shared" ca="1" si="19"/>
        <v/>
      </c>
      <c r="H218" s="3" t="str">
        <f t="shared" ca="1" si="20"/>
        <v/>
      </c>
      <c r="I218" t="str">
        <f t="shared" ca="1" si="21"/>
        <v/>
      </c>
      <c r="J218" t="str">
        <f t="shared" ca="1" si="22"/>
        <v/>
      </c>
      <c r="K218" t="str">
        <f t="shared" ca="1" si="23"/>
        <v/>
      </c>
      <c r="L218" t="str">
        <f t="shared" ca="1" si="24"/>
        <v/>
      </c>
    </row>
    <row r="219" spans="6:12" x14ac:dyDescent="0.2">
      <c r="F219">
        <v>217</v>
      </c>
      <c r="G219" s="3" t="str">
        <f t="shared" ca="1" si="19"/>
        <v/>
      </c>
      <c r="H219" s="3" t="str">
        <f t="shared" ca="1" si="20"/>
        <v/>
      </c>
      <c r="I219" t="str">
        <f t="shared" ca="1" si="21"/>
        <v/>
      </c>
      <c r="J219" t="str">
        <f t="shared" ca="1" si="22"/>
        <v/>
      </c>
      <c r="K219" t="str">
        <f t="shared" ca="1" si="23"/>
        <v/>
      </c>
      <c r="L219" t="str">
        <f t="shared" ca="1" si="24"/>
        <v/>
      </c>
    </row>
    <row r="220" spans="6:12" x14ac:dyDescent="0.2">
      <c r="F220">
        <v>218</v>
      </c>
      <c r="G220" s="3" t="str">
        <f t="shared" ca="1" si="19"/>
        <v/>
      </c>
      <c r="H220" s="3" t="str">
        <f t="shared" ca="1" si="20"/>
        <v/>
      </c>
      <c r="I220" t="str">
        <f t="shared" ca="1" si="21"/>
        <v/>
      </c>
      <c r="J220" t="str">
        <f t="shared" ca="1" si="22"/>
        <v/>
      </c>
      <c r="K220" t="str">
        <f t="shared" ca="1" si="23"/>
        <v/>
      </c>
      <c r="L220" t="str">
        <f t="shared" ca="1" si="24"/>
        <v/>
      </c>
    </row>
    <row r="221" spans="6:12" x14ac:dyDescent="0.2">
      <c r="F221">
        <v>219</v>
      </c>
      <c r="G221" s="3" t="str">
        <f t="shared" ca="1" si="19"/>
        <v/>
      </c>
      <c r="H221" s="3" t="str">
        <f t="shared" ca="1" si="20"/>
        <v/>
      </c>
      <c r="I221" t="str">
        <f t="shared" ca="1" si="21"/>
        <v/>
      </c>
      <c r="J221" t="str">
        <f t="shared" ca="1" si="22"/>
        <v/>
      </c>
      <c r="K221" t="str">
        <f t="shared" ca="1" si="23"/>
        <v/>
      </c>
      <c r="L221" t="str">
        <f t="shared" ca="1" si="24"/>
        <v/>
      </c>
    </row>
    <row r="222" spans="6:12" x14ac:dyDescent="0.2">
      <c r="F222">
        <v>220</v>
      </c>
      <c r="G222" s="3" t="str">
        <f t="shared" ca="1" si="19"/>
        <v/>
      </c>
      <c r="H222" s="3" t="str">
        <f t="shared" ca="1" si="20"/>
        <v/>
      </c>
      <c r="I222" t="str">
        <f t="shared" ca="1" si="21"/>
        <v/>
      </c>
      <c r="J222" t="str">
        <f t="shared" ca="1" si="22"/>
        <v/>
      </c>
      <c r="K222" t="str">
        <f t="shared" ca="1" si="23"/>
        <v/>
      </c>
      <c r="L222" t="str">
        <f t="shared" ca="1" si="24"/>
        <v/>
      </c>
    </row>
    <row r="223" spans="6:12" x14ac:dyDescent="0.2">
      <c r="F223">
        <v>221</v>
      </c>
      <c r="G223" s="3" t="str">
        <f t="shared" ca="1" si="19"/>
        <v/>
      </c>
      <c r="H223" s="3" t="str">
        <f t="shared" ca="1" si="20"/>
        <v/>
      </c>
      <c r="I223" t="str">
        <f t="shared" ca="1" si="21"/>
        <v/>
      </c>
      <c r="J223" t="str">
        <f t="shared" ca="1" si="22"/>
        <v/>
      </c>
      <c r="K223" t="str">
        <f t="shared" ca="1" si="23"/>
        <v/>
      </c>
      <c r="L223" t="str">
        <f t="shared" ca="1" si="24"/>
        <v/>
      </c>
    </row>
    <row r="224" spans="6:12" x14ac:dyDescent="0.2">
      <c r="F224">
        <v>222</v>
      </c>
      <c r="G224" s="3" t="str">
        <f t="shared" ca="1" si="19"/>
        <v/>
      </c>
      <c r="H224" s="3" t="str">
        <f t="shared" ca="1" si="20"/>
        <v/>
      </c>
      <c r="I224" t="str">
        <f t="shared" ca="1" si="21"/>
        <v/>
      </c>
      <c r="J224" t="str">
        <f t="shared" ca="1" si="22"/>
        <v/>
      </c>
      <c r="K224" t="str">
        <f t="shared" ca="1" si="23"/>
        <v/>
      </c>
      <c r="L224" t="str">
        <f t="shared" ca="1" si="24"/>
        <v/>
      </c>
    </row>
    <row r="225" spans="6:12" x14ac:dyDescent="0.2">
      <c r="F225">
        <v>223</v>
      </c>
      <c r="G225" s="3" t="str">
        <f t="shared" ca="1" si="19"/>
        <v/>
      </c>
      <c r="H225" s="3" t="str">
        <f t="shared" ca="1" si="20"/>
        <v/>
      </c>
      <c r="I225" t="str">
        <f t="shared" ca="1" si="21"/>
        <v/>
      </c>
      <c r="J225" t="str">
        <f t="shared" ca="1" si="22"/>
        <v/>
      </c>
      <c r="K225" t="str">
        <f t="shared" ca="1" si="23"/>
        <v/>
      </c>
      <c r="L225" t="str">
        <f t="shared" ca="1" si="24"/>
        <v/>
      </c>
    </row>
    <row r="226" spans="6:12" x14ac:dyDescent="0.2">
      <c r="F226">
        <v>224</v>
      </c>
      <c r="G226" s="3" t="str">
        <f t="shared" ca="1" si="19"/>
        <v/>
      </c>
      <c r="H226" s="3" t="str">
        <f t="shared" ca="1" si="20"/>
        <v/>
      </c>
      <c r="I226" t="str">
        <f t="shared" ca="1" si="21"/>
        <v/>
      </c>
      <c r="J226" t="str">
        <f t="shared" ca="1" si="22"/>
        <v/>
      </c>
      <c r="K226" t="str">
        <f t="shared" ca="1" si="23"/>
        <v/>
      </c>
      <c r="L226" t="str">
        <f t="shared" ca="1" si="24"/>
        <v/>
      </c>
    </row>
    <row r="227" spans="6:12" x14ac:dyDescent="0.2">
      <c r="F227">
        <v>225</v>
      </c>
      <c r="G227" s="3" t="str">
        <f t="shared" ca="1" si="19"/>
        <v/>
      </c>
      <c r="H227" s="3" t="str">
        <f t="shared" ca="1" si="20"/>
        <v/>
      </c>
      <c r="I227" t="str">
        <f t="shared" ca="1" si="21"/>
        <v/>
      </c>
      <c r="J227" t="str">
        <f t="shared" ca="1" si="22"/>
        <v/>
      </c>
      <c r="K227" t="str">
        <f t="shared" ca="1" si="23"/>
        <v/>
      </c>
      <c r="L227" t="str">
        <f t="shared" ca="1" si="24"/>
        <v/>
      </c>
    </row>
    <row r="228" spans="6:12" x14ac:dyDescent="0.2">
      <c r="F228">
        <v>226</v>
      </c>
      <c r="G228" s="3" t="str">
        <f t="shared" ca="1" si="19"/>
        <v/>
      </c>
      <c r="H228" s="3" t="str">
        <f t="shared" ca="1" si="20"/>
        <v/>
      </c>
      <c r="I228" t="str">
        <f t="shared" ca="1" si="21"/>
        <v/>
      </c>
      <c r="J228" t="str">
        <f t="shared" ca="1" si="22"/>
        <v/>
      </c>
      <c r="K228" t="str">
        <f t="shared" ca="1" si="23"/>
        <v/>
      </c>
      <c r="L228" t="str">
        <f t="shared" ca="1" si="24"/>
        <v/>
      </c>
    </row>
    <row r="229" spans="6:12" x14ac:dyDescent="0.2">
      <c r="F229">
        <v>227</v>
      </c>
      <c r="G229" s="3" t="str">
        <f t="shared" ca="1" si="19"/>
        <v/>
      </c>
      <c r="H229" s="3" t="str">
        <f t="shared" ca="1" si="20"/>
        <v/>
      </c>
      <c r="I229" t="str">
        <f t="shared" ca="1" si="21"/>
        <v/>
      </c>
      <c r="J229" t="str">
        <f t="shared" ca="1" si="22"/>
        <v/>
      </c>
      <c r="K229" t="str">
        <f t="shared" ca="1" si="23"/>
        <v/>
      </c>
      <c r="L229" t="str">
        <f t="shared" ca="1" si="24"/>
        <v/>
      </c>
    </row>
    <row r="230" spans="6:12" x14ac:dyDescent="0.2">
      <c r="F230">
        <v>228</v>
      </c>
      <c r="G230" s="3" t="str">
        <f t="shared" ca="1" si="19"/>
        <v/>
      </c>
      <c r="H230" s="3" t="str">
        <f t="shared" ca="1" si="20"/>
        <v/>
      </c>
      <c r="I230" t="str">
        <f t="shared" ca="1" si="21"/>
        <v/>
      </c>
      <c r="J230" t="str">
        <f t="shared" ca="1" si="22"/>
        <v/>
      </c>
      <c r="K230" t="str">
        <f t="shared" ca="1" si="23"/>
        <v/>
      </c>
      <c r="L230" t="str">
        <f t="shared" ca="1" si="24"/>
        <v/>
      </c>
    </row>
    <row r="231" spans="6:12" x14ac:dyDescent="0.2">
      <c r="F231">
        <v>229</v>
      </c>
      <c r="G231" s="3" t="str">
        <f t="shared" ca="1" si="19"/>
        <v/>
      </c>
      <c r="H231" s="3" t="str">
        <f t="shared" ca="1" si="20"/>
        <v/>
      </c>
      <c r="I231" t="str">
        <f t="shared" ca="1" si="21"/>
        <v/>
      </c>
      <c r="J231" t="str">
        <f t="shared" ca="1" si="22"/>
        <v/>
      </c>
      <c r="K231" t="str">
        <f t="shared" ca="1" si="23"/>
        <v/>
      </c>
      <c r="L231" t="str">
        <f t="shared" ca="1" si="24"/>
        <v/>
      </c>
    </row>
    <row r="232" spans="6:12" x14ac:dyDescent="0.2">
      <c r="F232">
        <v>230</v>
      </c>
      <c r="G232" s="3" t="str">
        <f t="shared" ca="1" si="19"/>
        <v/>
      </c>
      <c r="H232" s="3" t="str">
        <f t="shared" ca="1" si="20"/>
        <v/>
      </c>
      <c r="I232" t="str">
        <f t="shared" ca="1" si="21"/>
        <v/>
      </c>
      <c r="J232" t="str">
        <f t="shared" ca="1" si="22"/>
        <v/>
      </c>
      <c r="K232" t="str">
        <f t="shared" ca="1" si="23"/>
        <v/>
      </c>
      <c r="L232" t="str">
        <f t="shared" ca="1" si="24"/>
        <v/>
      </c>
    </row>
    <row r="233" spans="6:12" x14ac:dyDescent="0.2">
      <c r="F233">
        <v>231</v>
      </c>
      <c r="G233" s="3" t="str">
        <f t="shared" ca="1" si="19"/>
        <v/>
      </c>
      <c r="H233" s="3" t="str">
        <f t="shared" ca="1" si="20"/>
        <v/>
      </c>
      <c r="I233" t="str">
        <f t="shared" ca="1" si="21"/>
        <v/>
      </c>
      <c r="J233" t="str">
        <f t="shared" ca="1" si="22"/>
        <v/>
      </c>
      <c r="K233" t="str">
        <f t="shared" ca="1" si="23"/>
        <v/>
      </c>
      <c r="L233" t="str">
        <f t="shared" ca="1" si="24"/>
        <v/>
      </c>
    </row>
    <row r="234" spans="6:12" x14ac:dyDescent="0.2">
      <c r="F234">
        <v>232</v>
      </c>
      <c r="G234" s="3" t="str">
        <f t="shared" ca="1" si="19"/>
        <v/>
      </c>
      <c r="H234" s="3" t="str">
        <f t="shared" ca="1" si="20"/>
        <v/>
      </c>
      <c r="I234" t="str">
        <f t="shared" ca="1" si="21"/>
        <v/>
      </c>
      <c r="J234" t="str">
        <f t="shared" ca="1" si="22"/>
        <v/>
      </c>
      <c r="K234" t="str">
        <f t="shared" ca="1" si="23"/>
        <v/>
      </c>
      <c r="L234" t="str">
        <f t="shared" ca="1" si="24"/>
        <v/>
      </c>
    </row>
    <row r="235" spans="6:12" x14ac:dyDescent="0.2">
      <c r="F235">
        <v>233</v>
      </c>
      <c r="G235" s="3" t="str">
        <f t="shared" ca="1" si="19"/>
        <v/>
      </c>
      <c r="H235" s="3" t="str">
        <f t="shared" ca="1" si="20"/>
        <v/>
      </c>
      <c r="I235" t="str">
        <f t="shared" ca="1" si="21"/>
        <v/>
      </c>
      <c r="J235" t="str">
        <f t="shared" ca="1" si="22"/>
        <v/>
      </c>
      <c r="K235" t="str">
        <f t="shared" ca="1" si="23"/>
        <v/>
      </c>
      <c r="L235" t="str">
        <f t="shared" ca="1" si="24"/>
        <v/>
      </c>
    </row>
    <row r="236" spans="6:12" x14ac:dyDescent="0.2">
      <c r="F236">
        <v>234</v>
      </c>
      <c r="G236" s="3" t="str">
        <f t="shared" ca="1" si="19"/>
        <v/>
      </c>
      <c r="H236" s="3" t="str">
        <f t="shared" ca="1" si="20"/>
        <v/>
      </c>
      <c r="I236" t="str">
        <f t="shared" ca="1" si="21"/>
        <v/>
      </c>
      <c r="J236" t="str">
        <f t="shared" ca="1" si="22"/>
        <v/>
      </c>
      <c r="K236" t="str">
        <f t="shared" ca="1" si="23"/>
        <v/>
      </c>
      <c r="L236" t="str">
        <f t="shared" ca="1" si="24"/>
        <v/>
      </c>
    </row>
    <row r="237" spans="6:12" x14ac:dyDescent="0.2">
      <c r="F237">
        <v>235</v>
      </c>
      <c r="G237" s="3" t="str">
        <f t="shared" ca="1" si="19"/>
        <v/>
      </c>
      <c r="H237" s="3" t="str">
        <f t="shared" ca="1" si="20"/>
        <v/>
      </c>
      <c r="I237" t="str">
        <f t="shared" ca="1" si="21"/>
        <v/>
      </c>
      <c r="J237" t="str">
        <f t="shared" ca="1" si="22"/>
        <v/>
      </c>
      <c r="K237" t="str">
        <f t="shared" ca="1" si="23"/>
        <v/>
      </c>
      <c r="L237" t="str">
        <f t="shared" ca="1" si="24"/>
        <v/>
      </c>
    </row>
    <row r="238" spans="6:12" x14ac:dyDescent="0.2">
      <c r="F238">
        <v>236</v>
      </c>
      <c r="G238" s="3" t="str">
        <f t="shared" ca="1" si="19"/>
        <v/>
      </c>
      <c r="H238" s="3" t="str">
        <f t="shared" ca="1" si="20"/>
        <v/>
      </c>
      <c r="I238" t="str">
        <f t="shared" ca="1" si="21"/>
        <v/>
      </c>
      <c r="J238" t="str">
        <f t="shared" ca="1" si="22"/>
        <v/>
      </c>
      <c r="K238" t="str">
        <f t="shared" ca="1" si="23"/>
        <v/>
      </c>
      <c r="L238" t="str">
        <f t="shared" ca="1" si="24"/>
        <v/>
      </c>
    </row>
    <row r="239" spans="6:12" x14ac:dyDescent="0.2">
      <c r="F239">
        <v>237</v>
      </c>
      <c r="G239" s="3" t="str">
        <f t="shared" ca="1" si="19"/>
        <v/>
      </c>
      <c r="H239" s="3" t="str">
        <f t="shared" ca="1" si="20"/>
        <v/>
      </c>
      <c r="I239" t="str">
        <f t="shared" ca="1" si="21"/>
        <v/>
      </c>
      <c r="J239" t="str">
        <f t="shared" ca="1" si="22"/>
        <v/>
      </c>
      <c r="K239" t="str">
        <f t="shared" ca="1" si="23"/>
        <v/>
      </c>
      <c r="L239" t="str">
        <f t="shared" ca="1" si="24"/>
        <v/>
      </c>
    </row>
    <row r="240" spans="6:12" x14ac:dyDescent="0.2">
      <c r="F240">
        <v>238</v>
      </c>
      <c r="G240" s="3" t="str">
        <f t="shared" ca="1" si="19"/>
        <v/>
      </c>
      <c r="H240" s="3" t="str">
        <f t="shared" ca="1" si="20"/>
        <v/>
      </c>
      <c r="I240" t="str">
        <f t="shared" ca="1" si="21"/>
        <v/>
      </c>
      <c r="J240" t="str">
        <f t="shared" ca="1" si="22"/>
        <v/>
      </c>
      <c r="K240" t="str">
        <f t="shared" ca="1" si="23"/>
        <v/>
      </c>
      <c r="L240" t="str">
        <f t="shared" ca="1" si="24"/>
        <v/>
      </c>
    </row>
    <row r="241" spans="6:12" x14ac:dyDescent="0.2">
      <c r="F241">
        <v>239</v>
      </c>
      <c r="G241" s="3" t="str">
        <f t="shared" ca="1" si="19"/>
        <v/>
      </c>
      <c r="H241" s="3" t="str">
        <f t="shared" ca="1" si="20"/>
        <v/>
      </c>
      <c r="I241" t="str">
        <f t="shared" ca="1" si="21"/>
        <v/>
      </c>
      <c r="J241" t="str">
        <f t="shared" ca="1" si="22"/>
        <v/>
      </c>
      <c r="K241" t="str">
        <f t="shared" ca="1" si="23"/>
        <v/>
      </c>
      <c r="L241" t="str">
        <f t="shared" ca="1" si="24"/>
        <v/>
      </c>
    </row>
    <row r="242" spans="6:12" x14ac:dyDescent="0.2">
      <c r="F242">
        <v>240</v>
      </c>
      <c r="G242" s="3" t="str">
        <f t="shared" ca="1" si="19"/>
        <v/>
      </c>
      <c r="H242" s="3" t="str">
        <f t="shared" ca="1" si="20"/>
        <v/>
      </c>
      <c r="I242" t="str">
        <f t="shared" ca="1" si="21"/>
        <v/>
      </c>
      <c r="J242" t="str">
        <f t="shared" ca="1" si="22"/>
        <v/>
      </c>
      <c r="K242" t="str">
        <f t="shared" ca="1" si="23"/>
        <v/>
      </c>
      <c r="L242" t="str">
        <f t="shared" ca="1" si="24"/>
        <v/>
      </c>
    </row>
    <row r="243" spans="6:12" x14ac:dyDescent="0.2">
      <c r="F243">
        <v>241</v>
      </c>
      <c r="G243" s="3" t="str">
        <f t="shared" ca="1" si="19"/>
        <v/>
      </c>
      <c r="H243" s="3" t="str">
        <f t="shared" ca="1" si="20"/>
        <v/>
      </c>
      <c r="I243" t="str">
        <f t="shared" ca="1" si="21"/>
        <v/>
      </c>
      <c r="J243" t="str">
        <f t="shared" ca="1" si="22"/>
        <v/>
      </c>
      <c r="K243" t="str">
        <f t="shared" ca="1" si="23"/>
        <v/>
      </c>
      <c r="L243" t="str">
        <f t="shared" ca="1" si="24"/>
        <v/>
      </c>
    </row>
    <row r="244" spans="6:12" x14ac:dyDescent="0.2">
      <c r="F244">
        <v>242</v>
      </c>
      <c r="G244" s="3" t="str">
        <f t="shared" ca="1" si="19"/>
        <v/>
      </c>
      <c r="H244" s="3" t="str">
        <f t="shared" ca="1" si="20"/>
        <v/>
      </c>
      <c r="I244" t="str">
        <f t="shared" ca="1" si="21"/>
        <v/>
      </c>
      <c r="J244" t="str">
        <f t="shared" ca="1" si="22"/>
        <v/>
      </c>
      <c r="K244" t="str">
        <f t="shared" ca="1" si="23"/>
        <v/>
      </c>
      <c r="L244" t="str">
        <f t="shared" ca="1" si="24"/>
        <v/>
      </c>
    </row>
    <row r="245" spans="6:12" x14ac:dyDescent="0.2">
      <c r="F245">
        <v>243</v>
      </c>
      <c r="G245" s="3" t="str">
        <f t="shared" ca="1" si="19"/>
        <v/>
      </c>
      <c r="H245" s="3" t="str">
        <f t="shared" ca="1" si="20"/>
        <v/>
      </c>
      <c r="I245" t="str">
        <f t="shared" ca="1" si="21"/>
        <v/>
      </c>
      <c r="J245" t="str">
        <f t="shared" ca="1" si="22"/>
        <v/>
      </c>
      <c r="K245" t="str">
        <f t="shared" ca="1" si="23"/>
        <v/>
      </c>
      <c r="L245" t="str">
        <f t="shared" ca="1" si="24"/>
        <v/>
      </c>
    </row>
    <row r="246" spans="6:12" x14ac:dyDescent="0.2">
      <c r="F246">
        <v>244</v>
      </c>
      <c r="G246" s="3" t="str">
        <f t="shared" ca="1" si="19"/>
        <v/>
      </c>
      <c r="H246" s="3" t="str">
        <f t="shared" ca="1" si="20"/>
        <v/>
      </c>
      <c r="I246" t="str">
        <f t="shared" ca="1" si="21"/>
        <v/>
      </c>
      <c r="J246" t="str">
        <f t="shared" ca="1" si="22"/>
        <v/>
      </c>
      <c r="K246" t="str">
        <f t="shared" ca="1" si="23"/>
        <v/>
      </c>
      <c r="L246" t="str">
        <f t="shared" ca="1" si="24"/>
        <v/>
      </c>
    </row>
    <row r="247" spans="6:12" x14ac:dyDescent="0.2">
      <c r="F247">
        <v>245</v>
      </c>
      <c r="G247" s="3" t="str">
        <f t="shared" ca="1" si="19"/>
        <v/>
      </c>
      <c r="H247" s="3" t="str">
        <f t="shared" ca="1" si="20"/>
        <v/>
      </c>
      <c r="I247" t="str">
        <f t="shared" ca="1" si="21"/>
        <v/>
      </c>
      <c r="J247" t="str">
        <f t="shared" ca="1" si="22"/>
        <v/>
      </c>
      <c r="K247" t="str">
        <f t="shared" ca="1" si="23"/>
        <v/>
      </c>
      <c r="L247" t="str">
        <f t="shared" ca="1" si="24"/>
        <v/>
      </c>
    </row>
    <row r="248" spans="6:12" x14ac:dyDescent="0.2">
      <c r="F248">
        <v>246</v>
      </c>
      <c r="G248" s="3" t="str">
        <f t="shared" ca="1" si="19"/>
        <v/>
      </c>
      <c r="H248" s="3" t="str">
        <f t="shared" ca="1" si="20"/>
        <v/>
      </c>
      <c r="I248" t="str">
        <f t="shared" ca="1" si="21"/>
        <v/>
      </c>
      <c r="J248" t="str">
        <f t="shared" ca="1" si="22"/>
        <v/>
      </c>
      <c r="K248" t="str">
        <f t="shared" ca="1" si="23"/>
        <v/>
      </c>
      <c r="L248" t="str">
        <f t="shared" ca="1" si="24"/>
        <v/>
      </c>
    </row>
    <row r="249" spans="6:12" x14ac:dyDescent="0.2">
      <c r="F249">
        <v>247</v>
      </c>
      <c r="G249" s="3" t="str">
        <f t="shared" ca="1" si="19"/>
        <v/>
      </c>
      <c r="H249" s="3" t="str">
        <f t="shared" ca="1" si="20"/>
        <v/>
      </c>
      <c r="I249" t="str">
        <f t="shared" ca="1" si="21"/>
        <v/>
      </c>
      <c r="J249" t="str">
        <f t="shared" ca="1" si="22"/>
        <v/>
      </c>
      <c r="K249" t="str">
        <f t="shared" ca="1" si="23"/>
        <v/>
      </c>
      <c r="L249" t="str">
        <f t="shared" ca="1" si="24"/>
        <v/>
      </c>
    </row>
    <row r="250" spans="6:12" x14ac:dyDescent="0.2">
      <c r="F250">
        <v>248</v>
      </c>
      <c r="G250" s="3" t="str">
        <f t="shared" ca="1" si="19"/>
        <v/>
      </c>
      <c r="H250" s="3" t="str">
        <f t="shared" ca="1" si="20"/>
        <v/>
      </c>
      <c r="I250" t="str">
        <f t="shared" ca="1" si="21"/>
        <v/>
      </c>
      <c r="J250" t="str">
        <f t="shared" ca="1" si="22"/>
        <v/>
      </c>
      <c r="K250" t="str">
        <f t="shared" ca="1" si="23"/>
        <v/>
      </c>
      <c r="L250" t="str">
        <f t="shared" ca="1" si="24"/>
        <v/>
      </c>
    </row>
    <row r="251" spans="6:12" x14ac:dyDescent="0.2">
      <c r="F251">
        <v>249</v>
      </c>
      <c r="G251" s="3" t="str">
        <f t="shared" ca="1" si="19"/>
        <v/>
      </c>
      <c r="H251" s="3" t="str">
        <f t="shared" ca="1" si="20"/>
        <v/>
      </c>
      <c r="I251" t="str">
        <f t="shared" ca="1" si="21"/>
        <v/>
      </c>
      <c r="J251" t="str">
        <f t="shared" ca="1" si="22"/>
        <v/>
      </c>
      <c r="K251" t="str">
        <f t="shared" ca="1" si="23"/>
        <v/>
      </c>
      <c r="L251" t="str">
        <f t="shared" ca="1" si="24"/>
        <v/>
      </c>
    </row>
    <row r="252" spans="6:12" x14ac:dyDescent="0.2">
      <c r="F252">
        <v>250</v>
      </c>
      <c r="G252" s="3" t="str">
        <f t="shared" ca="1" si="19"/>
        <v/>
      </c>
      <c r="H252" s="3" t="str">
        <f t="shared" ca="1" si="20"/>
        <v/>
      </c>
      <c r="I252" t="str">
        <f t="shared" ca="1" si="21"/>
        <v/>
      </c>
      <c r="J252" t="str">
        <f t="shared" ca="1" si="22"/>
        <v/>
      </c>
      <c r="K252" t="str">
        <f t="shared" ca="1" si="23"/>
        <v/>
      </c>
      <c r="L252" t="str">
        <f t="shared" ca="1" si="24"/>
        <v/>
      </c>
    </row>
    <row r="253" spans="6:12" x14ac:dyDescent="0.2">
      <c r="F253">
        <v>251</v>
      </c>
      <c r="G253" s="3" t="str">
        <f t="shared" ca="1" si="19"/>
        <v/>
      </c>
      <c r="H253" s="3" t="str">
        <f t="shared" ca="1" si="20"/>
        <v/>
      </c>
      <c r="I253" t="str">
        <f t="shared" ca="1" si="21"/>
        <v/>
      </c>
      <c r="J253" t="str">
        <f t="shared" ca="1" si="22"/>
        <v/>
      </c>
      <c r="K253" t="str">
        <f t="shared" ca="1" si="23"/>
        <v/>
      </c>
      <c r="L253" t="str">
        <f t="shared" ca="1" si="24"/>
        <v/>
      </c>
    </row>
    <row r="254" spans="6:12" x14ac:dyDescent="0.2">
      <c r="F254">
        <v>252</v>
      </c>
      <c r="G254" s="3" t="str">
        <f t="shared" ca="1" si="19"/>
        <v/>
      </c>
      <c r="H254" s="3" t="str">
        <f t="shared" ca="1" si="20"/>
        <v/>
      </c>
      <c r="I254" t="str">
        <f t="shared" ca="1" si="21"/>
        <v/>
      </c>
      <c r="J254" t="str">
        <f t="shared" ca="1" si="22"/>
        <v/>
      </c>
      <c r="K254" t="str">
        <f t="shared" ca="1" si="23"/>
        <v/>
      </c>
      <c r="L254" t="str">
        <f t="shared" ca="1" si="24"/>
        <v/>
      </c>
    </row>
    <row r="255" spans="6:12" x14ac:dyDescent="0.2">
      <c r="F255">
        <v>253</v>
      </c>
      <c r="G255" s="3" t="str">
        <f t="shared" ca="1" si="19"/>
        <v/>
      </c>
      <c r="H255" s="3" t="str">
        <f t="shared" ca="1" si="20"/>
        <v/>
      </c>
      <c r="I255" t="str">
        <f t="shared" ca="1" si="21"/>
        <v/>
      </c>
      <c r="J255" t="str">
        <f t="shared" ca="1" si="22"/>
        <v/>
      </c>
      <c r="K255" t="str">
        <f t="shared" ca="1" si="23"/>
        <v/>
      </c>
      <c r="L255" t="str">
        <f t="shared" ca="1" si="24"/>
        <v/>
      </c>
    </row>
    <row r="256" spans="6:12" x14ac:dyDescent="0.2">
      <c r="F256">
        <v>254</v>
      </c>
      <c r="G256" s="3" t="str">
        <f t="shared" ca="1" si="19"/>
        <v/>
      </c>
      <c r="H256" s="3" t="str">
        <f t="shared" ca="1" si="20"/>
        <v/>
      </c>
      <c r="I256" t="str">
        <f t="shared" ca="1" si="21"/>
        <v/>
      </c>
      <c r="J256" t="str">
        <f t="shared" ca="1" si="22"/>
        <v/>
      </c>
      <c r="K256" t="str">
        <f t="shared" ca="1" si="23"/>
        <v/>
      </c>
      <c r="L256" t="str">
        <f t="shared" ca="1" si="24"/>
        <v/>
      </c>
    </row>
    <row r="257" spans="6:12" x14ac:dyDescent="0.2">
      <c r="F257">
        <v>255</v>
      </c>
      <c r="G257" s="3" t="str">
        <f t="shared" ca="1" si="19"/>
        <v/>
      </c>
      <c r="H257" s="3" t="str">
        <f t="shared" ca="1" si="20"/>
        <v/>
      </c>
      <c r="I257" t="str">
        <f t="shared" ca="1" si="21"/>
        <v/>
      </c>
      <c r="J257" t="str">
        <f t="shared" ca="1" si="22"/>
        <v/>
      </c>
      <c r="K257" t="str">
        <f t="shared" ca="1" si="23"/>
        <v/>
      </c>
      <c r="L257" t="str">
        <f t="shared" ca="1" si="24"/>
        <v/>
      </c>
    </row>
    <row r="258" spans="6:12" x14ac:dyDescent="0.2">
      <c r="F258">
        <v>256</v>
      </c>
      <c r="G258" s="3" t="str">
        <f t="shared" ca="1" si="19"/>
        <v/>
      </c>
      <c r="H258" s="3" t="str">
        <f t="shared" ca="1" si="20"/>
        <v/>
      </c>
      <c r="I258" t="str">
        <f t="shared" ca="1" si="21"/>
        <v/>
      </c>
      <c r="J258" t="str">
        <f t="shared" ca="1" si="22"/>
        <v/>
      </c>
      <c r="K258" t="str">
        <f t="shared" ca="1" si="23"/>
        <v/>
      </c>
      <c r="L258" t="str">
        <f t="shared" ca="1" si="24"/>
        <v/>
      </c>
    </row>
    <row r="259" spans="6:12" x14ac:dyDescent="0.2">
      <c r="F259">
        <v>257</v>
      </c>
      <c r="G259" s="3" t="str">
        <f t="shared" ref="G259:G322" ca="1" si="25">IF(OR($F259&gt;N,G$2&gt;N_LISTS),"",QUOTIENT($F259-(QUOTIENT($F259,N)*N),N_1)
+IF(MOD($F259-(QUOTIENT($F259,N)*N),N_1)=0,0,1)
+IF(MOD($F259,N)=0,C_L1,0))</f>
        <v/>
      </c>
      <c r="H259" s="3" t="str">
        <f t="shared" ref="H259:H322" ca="1" si="26">IF(OR($F259&gt;N,H$2&gt;N_LISTS),"",QUOTIENT($F259-(QUOTIENT($F259,N_1)*N_1),N_2)
+IF(MOD($F259-(QUOTIENT($F259,N_1)*N_1),N_2)=0,0,1)
+IF(MOD($F259,N_1)=0,C_L2,0))</f>
        <v/>
      </c>
      <c r="I259" t="str">
        <f t="shared" ref="I259:I322" ca="1" si="27">IF(OR($F259&gt;N,I$2&gt;N_LISTS),"",QUOTIENT($F259-(QUOTIENT($F259,N_2)*N_2),N_3)
+IF(MOD($F259-(QUOTIENT($F259,N_2)*N_2),N_3)=0,0,1)
+IF(MOD($F259,N_2)=0,C_L3,0))</f>
        <v/>
      </c>
      <c r="J259" t="str">
        <f t="shared" ref="J259:J322" ca="1" si="28">IF(OR($F259&gt;N,J$2&gt;N_LISTS),"",QUOTIENT($F259-(QUOTIENT($F259,N_3)*N_3),N_4)
+IF(MOD($F259-(QUOTIENT($F259,N_3)*N_3),N_4)=0,0,1)
+IF(MOD($F259,N_3)=0,C_L4,0))</f>
        <v/>
      </c>
      <c r="K259" t="str">
        <f t="shared" ref="K259:K322" ca="1" si="29">IF(OR($F259&gt;N,K$2&gt;N_LISTS),"",QUOTIENT($F259-(QUOTIENT($F259,N_4)*N_4),N_5)
+IF(MOD($F259-(QUOTIENT($F259,N_4)*N_4),N_5)=0,0,1)
+IF(MOD($F259,N_4)=0,C_L5,0))</f>
        <v/>
      </c>
      <c r="L259" t="str">
        <f t="shared" ref="L259:L322" ca="1" si="30">IF(OR($F259&gt;N,L$2&gt;N_LISTS),"",QUOTIENT($F259-(QUOTIENT($F259,N_5)*N_5),1)
+IF(MOD($F259-(QUOTIENT($F259,N_5)*N_5),1)=0,0,1)
+IF(MOD($F259,N_5)=0,C_L6,0))</f>
        <v/>
      </c>
    </row>
    <row r="260" spans="6:12" x14ac:dyDescent="0.2">
      <c r="F260">
        <v>258</v>
      </c>
      <c r="G260" s="3" t="str">
        <f t="shared" ca="1" si="25"/>
        <v/>
      </c>
      <c r="H260" s="3" t="str">
        <f t="shared" ca="1" si="26"/>
        <v/>
      </c>
      <c r="I260" t="str">
        <f t="shared" ca="1" si="27"/>
        <v/>
      </c>
      <c r="J260" t="str">
        <f t="shared" ca="1" si="28"/>
        <v/>
      </c>
      <c r="K260" t="str">
        <f t="shared" ca="1" si="29"/>
        <v/>
      </c>
      <c r="L260" t="str">
        <f t="shared" ca="1" si="30"/>
        <v/>
      </c>
    </row>
    <row r="261" spans="6:12" x14ac:dyDescent="0.2">
      <c r="F261">
        <v>259</v>
      </c>
      <c r="G261" s="3" t="str">
        <f t="shared" ca="1" si="25"/>
        <v/>
      </c>
      <c r="H261" s="3" t="str">
        <f t="shared" ca="1" si="26"/>
        <v/>
      </c>
      <c r="I261" t="str">
        <f t="shared" ca="1" si="27"/>
        <v/>
      </c>
      <c r="J261" t="str">
        <f t="shared" ca="1" si="28"/>
        <v/>
      </c>
      <c r="K261" t="str">
        <f t="shared" ca="1" si="29"/>
        <v/>
      </c>
      <c r="L261" t="str">
        <f t="shared" ca="1" si="30"/>
        <v/>
      </c>
    </row>
    <row r="262" spans="6:12" x14ac:dyDescent="0.2">
      <c r="F262">
        <v>260</v>
      </c>
      <c r="G262" s="3" t="str">
        <f t="shared" ca="1" si="25"/>
        <v/>
      </c>
      <c r="H262" s="3" t="str">
        <f t="shared" ca="1" si="26"/>
        <v/>
      </c>
      <c r="I262" t="str">
        <f t="shared" ca="1" si="27"/>
        <v/>
      </c>
      <c r="J262" t="str">
        <f t="shared" ca="1" si="28"/>
        <v/>
      </c>
      <c r="K262" t="str">
        <f t="shared" ca="1" si="29"/>
        <v/>
      </c>
      <c r="L262" t="str">
        <f t="shared" ca="1" si="30"/>
        <v/>
      </c>
    </row>
    <row r="263" spans="6:12" x14ac:dyDescent="0.2">
      <c r="F263">
        <v>261</v>
      </c>
      <c r="G263" s="3" t="str">
        <f t="shared" ca="1" si="25"/>
        <v/>
      </c>
      <c r="H263" s="3" t="str">
        <f t="shared" ca="1" si="26"/>
        <v/>
      </c>
      <c r="I263" t="str">
        <f t="shared" ca="1" si="27"/>
        <v/>
      </c>
      <c r="J263" t="str">
        <f t="shared" ca="1" si="28"/>
        <v/>
      </c>
      <c r="K263" t="str">
        <f t="shared" ca="1" si="29"/>
        <v/>
      </c>
      <c r="L263" t="str">
        <f t="shared" ca="1" si="30"/>
        <v/>
      </c>
    </row>
    <row r="264" spans="6:12" x14ac:dyDescent="0.2">
      <c r="F264">
        <v>262</v>
      </c>
      <c r="G264" s="3" t="str">
        <f t="shared" ca="1" si="25"/>
        <v/>
      </c>
      <c r="H264" s="3" t="str">
        <f t="shared" ca="1" si="26"/>
        <v/>
      </c>
      <c r="I264" t="str">
        <f t="shared" ca="1" si="27"/>
        <v/>
      </c>
      <c r="J264" t="str">
        <f t="shared" ca="1" si="28"/>
        <v/>
      </c>
      <c r="K264" t="str">
        <f t="shared" ca="1" si="29"/>
        <v/>
      </c>
      <c r="L264" t="str">
        <f t="shared" ca="1" si="30"/>
        <v/>
      </c>
    </row>
    <row r="265" spans="6:12" x14ac:dyDescent="0.2">
      <c r="F265">
        <v>263</v>
      </c>
      <c r="G265" s="3" t="str">
        <f t="shared" ca="1" si="25"/>
        <v/>
      </c>
      <c r="H265" s="3" t="str">
        <f t="shared" ca="1" si="26"/>
        <v/>
      </c>
      <c r="I265" t="str">
        <f t="shared" ca="1" si="27"/>
        <v/>
      </c>
      <c r="J265" t="str">
        <f t="shared" ca="1" si="28"/>
        <v/>
      </c>
      <c r="K265" t="str">
        <f t="shared" ca="1" si="29"/>
        <v/>
      </c>
      <c r="L265" t="str">
        <f t="shared" ca="1" si="30"/>
        <v/>
      </c>
    </row>
    <row r="266" spans="6:12" x14ac:dyDescent="0.2">
      <c r="F266">
        <v>264</v>
      </c>
      <c r="G266" s="3" t="str">
        <f t="shared" ca="1" si="25"/>
        <v/>
      </c>
      <c r="H266" s="3" t="str">
        <f t="shared" ca="1" si="26"/>
        <v/>
      </c>
      <c r="I266" t="str">
        <f t="shared" ca="1" si="27"/>
        <v/>
      </c>
      <c r="J266" t="str">
        <f t="shared" ca="1" si="28"/>
        <v/>
      </c>
      <c r="K266" t="str">
        <f t="shared" ca="1" si="29"/>
        <v/>
      </c>
      <c r="L266" t="str">
        <f t="shared" ca="1" si="30"/>
        <v/>
      </c>
    </row>
    <row r="267" spans="6:12" x14ac:dyDescent="0.2">
      <c r="F267">
        <v>265</v>
      </c>
      <c r="G267" s="3" t="str">
        <f t="shared" ca="1" si="25"/>
        <v/>
      </c>
      <c r="H267" s="3" t="str">
        <f t="shared" ca="1" si="26"/>
        <v/>
      </c>
      <c r="I267" t="str">
        <f t="shared" ca="1" si="27"/>
        <v/>
      </c>
      <c r="J267" t="str">
        <f t="shared" ca="1" si="28"/>
        <v/>
      </c>
      <c r="K267" t="str">
        <f t="shared" ca="1" si="29"/>
        <v/>
      </c>
      <c r="L267" t="str">
        <f t="shared" ca="1" si="30"/>
        <v/>
      </c>
    </row>
    <row r="268" spans="6:12" x14ac:dyDescent="0.2">
      <c r="F268">
        <v>266</v>
      </c>
      <c r="G268" s="3" t="str">
        <f t="shared" ca="1" si="25"/>
        <v/>
      </c>
      <c r="H268" s="3" t="str">
        <f t="shared" ca="1" si="26"/>
        <v/>
      </c>
      <c r="I268" t="str">
        <f t="shared" ca="1" si="27"/>
        <v/>
      </c>
      <c r="J268" t="str">
        <f t="shared" ca="1" si="28"/>
        <v/>
      </c>
      <c r="K268" t="str">
        <f t="shared" ca="1" si="29"/>
        <v/>
      </c>
      <c r="L268" t="str">
        <f t="shared" ca="1" si="30"/>
        <v/>
      </c>
    </row>
    <row r="269" spans="6:12" x14ac:dyDescent="0.2">
      <c r="F269">
        <v>267</v>
      </c>
      <c r="G269" s="3" t="str">
        <f t="shared" ca="1" si="25"/>
        <v/>
      </c>
      <c r="H269" s="3" t="str">
        <f t="shared" ca="1" si="26"/>
        <v/>
      </c>
      <c r="I269" t="str">
        <f t="shared" ca="1" si="27"/>
        <v/>
      </c>
      <c r="J269" t="str">
        <f t="shared" ca="1" si="28"/>
        <v/>
      </c>
      <c r="K269" t="str">
        <f t="shared" ca="1" si="29"/>
        <v/>
      </c>
      <c r="L269" t="str">
        <f t="shared" ca="1" si="30"/>
        <v/>
      </c>
    </row>
    <row r="270" spans="6:12" x14ac:dyDescent="0.2">
      <c r="F270">
        <v>268</v>
      </c>
      <c r="G270" s="3" t="str">
        <f t="shared" ca="1" si="25"/>
        <v/>
      </c>
      <c r="H270" s="3" t="str">
        <f t="shared" ca="1" si="26"/>
        <v/>
      </c>
      <c r="I270" t="str">
        <f t="shared" ca="1" si="27"/>
        <v/>
      </c>
      <c r="J270" t="str">
        <f t="shared" ca="1" si="28"/>
        <v/>
      </c>
      <c r="K270" t="str">
        <f t="shared" ca="1" si="29"/>
        <v/>
      </c>
      <c r="L270" t="str">
        <f t="shared" ca="1" si="30"/>
        <v/>
      </c>
    </row>
    <row r="271" spans="6:12" x14ac:dyDescent="0.2">
      <c r="F271">
        <v>269</v>
      </c>
      <c r="G271" s="3" t="str">
        <f t="shared" ca="1" si="25"/>
        <v/>
      </c>
      <c r="H271" s="3" t="str">
        <f t="shared" ca="1" si="26"/>
        <v/>
      </c>
      <c r="I271" t="str">
        <f t="shared" ca="1" si="27"/>
        <v/>
      </c>
      <c r="J271" t="str">
        <f t="shared" ca="1" si="28"/>
        <v/>
      </c>
      <c r="K271" t="str">
        <f t="shared" ca="1" si="29"/>
        <v/>
      </c>
      <c r="L271" t="str">
        <f t="shared" ca="1" si="30"/>
        <v/>
      </c>
    </row>
    <row r="272" spans="6:12" x14ac:dyDescent="0.2">
      <c r="F272">
        <v>270</v>
      </c>
      <c r="G272" s="3" t="str">
        <f t="shared" ca="1" si="25"/>
        <v/>
      </c>
      <c r="H272" s="3" t="str">
        <f t="shared" ca="1" si="26"/>
        <v/>
      </c>
      <c r="I272" t="str">
        <f t="shared" ca="1" si="27"/>
        <v/>
      </c>
      <c r="J272" t="str">
        <f t="shared" ca="1" si="28"/>
        <v/>
      </c>
      <c r="K272" t="str">
        <f t="shared" ca="1" si="29"/>
        <v/>
      </c>
      <c r="L272" t="str">
        <f t="shared" ca="1" si="30"/>
        <v/>
      </c>
    </row>
    <row r="273" spans="6:12" x14ac:dyDescent="0.2">
      <c r="F273">
        <v>271</v>
      </c>
      <c r="G273" s="3" t="str">
        <f t="shared" ca="1" si="25"/>
        <v/>
      </c>
      <c r="H273" s="3" t="str">
        <f t="shared" ca="1" si="26"/>
        <v/>
      </c>
      <c r="I273" t="str">
        <f t="shared" ca="1" si="27"/>
        <v/>
      </c>
      <c r="J273" t="str">
        <f t="shared" ca="1" si="28"/>
        <v/>
      </c>
      <c r="K273" t="str">
        <f t="shared" ca="1" si="29"/>
        <v/>
      </c>
      <c r="L273" t="str">
        <f t="shared" ca="1" si="30"/>
        <v/>
      </c>
    </row>
    <row r="274" spans="6:12" x14ac:dyDescent="0.2">
      <c r="F274">
        <v>272</v>
      </c>
      <c r="G274" s="3" t="str">
        <f t="shared" ca="1" si="25"/>
        <v/>
      </c>
      <c r="H274" s="3" t="str">
        <f t="shared" ca="1" si="26"/>
        <v/>
      </c>
      <c r="I274" t="str">
        <f t="shared" ca="1" si="27"/>
        <v/>
      </c>
      <c r="J274" t="str">
        <f t="shared" ca="1" si="28"/>
        <v/>
      </c>
      <c r="K274" t="str">
        <f t="shared" ca="1" si="29"/>
        <v/>
      </c>
      <c r="L274" t="str">
        <f t="shared" ca="1" si="30"/>
        <v/>
      </c>
    </row>
    <row r="275" spans="6:12" x14ac:dyDescent="0.2">
      <c r="F275">
        <v>273</v>
      </c>
      <c r="G275" s="3" t="str">
        <f t="shared" ca="1" si="25"/>
        <v/>
      </c>
      <c r="H275" s="3" t="str">
        <f t="shared" ca="1" si="26"/>
        <v/>
      </c>
      <c r="I275" t="str">
        <f t="shared" ca="1" si="27"/>
        <v/>
      </c>
      <c r="J275" t="str">
        <f t="shared" ca="1" si="28"/>
        <v/>
      </c>
      <c r="K275" t="str">
        <f t="shared" ca="1" si="29"/>
        <v/>
      </c>
      <c r="L275" t="str">
        <f t="shared" ca="1" si="30"/>
        <v/>
      </c>
    </row>
    <row r="276" spans="6:12" x14ac:dyDescent="0.2">
      <c r="F276">
        <v>274</v>
      </c>
      <c r="G276" s="3" t="str">
        <f t="shared" ca="1" si="25"/>
        <v/>
      </c>
      <c r="H276" s="3" t="str">
        <f t="shared" ca="1" si="26"/>
        <v/>
      </c>
      <c r="I276" t="str">
        <f t="shared" ca="1" si="27"/>
        <v/>
      </c>
      <c r="J276" t="str">
        <f t="shared" ca="1" si="28"/>
        <v/>
      </c>
      <c r="K276" t="str">
        <f t="shared" ca="1" si="29"/>
        <v/>
      </c>
      <c r="L276" t="str">
        <f t="shared" ca="1" si="30"/>
        <v/>
      </c>
    </row>
    <row r="277" spans="6:12" x14ac:dyDescent="0.2">
      <c r="F277">
        <v>275</v>
      </c>
      <c r="G277" s="3" t="str">
        <f t="shared" ca="1" si="25"/>
        <v/>
      </c>
      <c r="H277" s="3" t="str">
        <f t="shared" ca="1" si="26"/>
        <v/>
      </c>
      <c r="I277" t="str">
        <f t="shared" ca="1" si="27"/>
        <v/>
      </c>
      <c r="J277" t="str">
        <f t="shared" ca="1" si="28"/>
        <v/>
      </c>
      <c r="K277" t="str">
        <f t="shared" ca="1" si="29"/>
        <v/>
      </c>
      <c r="L277" t="str">
        <f t="shared" ca="1" si="30"/>
        <v/>
      </c>
    </row>
    <row r="278" spans="6:12" x14ac:dyDescent="0.2">
      <c r="F278">
        <v>276</v>
      </c>
      <c r="G278" s="3" t="str">
        <f t="shared" ca="1" si="25"/>
        <v/>
      </c>
      <c r="H278" s="3" t="str">
        <f t="shared" ca="1" si="26"/>
        <v/>
      </c>
      <c r="I278" t="str">
        <f t="shared" ca="1" si="27"/>
        <v/>
      </c>
      <c r="J278" t="str">
        <f t="shared" ca="1" si="28"/>
        <v/>
      </c>
      <c r="K278" t="str">
        <f t="shared" ca="1" si="29"/>
        <v/>
      </c>
      <c r="L278" t="str">
        <f t="shared" ca="1" si="30"/>
        <v/>
      </c>
    </row>
    <row r="279" spans="6:12" x14ac:dyDescent="0.2">
      <c r="F279">
        <v>277</v>
      </c>
      <c r="G279" s="3" t="str">
        <f t="shared" ca="1" si="25"/>
        <v/>
      </c>
      <c r="H279" s="3" t="str">
        <f t="shared" ca="1" si="26"/>
        <v/>
      </c>
      <c r="I279" t="str">
        <f t="shared" ca="1" si="27"/>
        <v/>
      </c>
      <c r="J279" t="str">
        <f t="shared" ca="1" si="28"/>
        <v/>
      </c>
      <c r="K279" t="str">
        <f t="shared" ca="1" si="29"/>
        <v/>
      </c>
      <c r="L279" t="str">
        <f t="shared" ca="1" si="30"/>
        <v/>
      </c>
    </row>
    <row r="280" spans="6:12" x14ac:dyDescent="0.2">
      <c r="F280">
        <v>278</v>
      </c>
      <c r="G280" s="3" t="str">
        <f t="shared" ca="1" si="25"/>
        <v/>
      </c>
      <c r="H280" s="3" t="str">
        <f t="shared" ca="1" si="26"/>
        <v/>
      </c>
      <c r="I280" t="str">
        <f t="shared" ca="1" si="27"/>
        <v/>
      </c>
      <c r="J280" t="str">
        <f t="shared" ca="1" si="28"/>
        <v/>
      </c>
      <c r="K280" t="str">
        <f t="shared" ca="1" si="29"/>
        <v/>
      </c>
      <c r="L280" t="str">
        <f t="shared" ca="1" si="30"/>
        <v/>
      </c>
    </row>
    <row r="281" spans="6:12" x14ac:dyDescent="0.2">
      <c r="F281">
        <v>279</v>
      </c>
      <c r="G281" s="3" t="str">
        <f t="shared" ca="1" si="25"/>
        <v/>
      </c>
      <c r="H281" s="3" t="str">
        <f t="shared" ca="1" si="26"/>
        <v/>
      </c>
      <c r="I281" t="str">
        <f t="shared" ca="1" si="27"/>
        <v/>
      </c>
      <c r="J281" t="str">
        <f t="shared" ca="1" si="28"/>
        <v/>
      </c>
      <c r="K281" t="str">
        <f t="shared" ca="1" si="29"/>
        <v/>
      </c>
      <c r="L281" t="str">
        <f t="shared" ca="1" si="30"/>
        <v/>
      </c>
    </row>
    <row r="282" spans="6:12" x14ac:dyDescent="0.2">
      <c r="F282">
        <v>280</v>
      </c>
      <c r="G282" s="3" t="str">
        <f t="shared" ca="1" si="25"/>
        <v/>
      </c>
      <c r="H282" s="3" t="str">
        <f t="shared" ca="1" si="26"/>
        <v/>
      </c>
      <c r="I282" t="str">
        <f t="shared" ca="1" si="27"/>
        <v/>
      </c>
      <c r="J282" t="str">
        <f t="shared" ca="1" si="28"/>
        <v/>
      </c>
      <c r="K282" t="str">
        <f t="shared" ca="1" si="29"/>
        <v/>
      </c>
      <c r="L282" t="str">
        <f t="shared" ca="1" si="30"/>
        <v/>
      </c>
    </row>
    <row r="283" spans="6:12" x14ac:dyDescent="0.2">
      <c r="F283">
        <v>281</v>
      </c>
      <c r="G283" s="3" t="str">
        <f t="shared" ca="1" si="25"/>
        <v/>
      </c>
      <c r="H283" s="3" t="str">
        <f t="shared" ca="1" si="26"/>
        <v/>
      </c>
      <c r="I283" t="str">
        <f t="shared" ca="1" si="27"/>
        <v/>
      </c>
      <c r="J283" t="str">
        <f t="shared" ca="1" si="28"/>
        <v/>
      </c>
      <c r="K283" t="str">
        <f t="shared" ca="1" si="29"/>
        <v/>
      </c>
      <c r="L283" t="str">
        <f t="shared" ca="1" si="30"/>
        <v/>
      </c>
    </row>
    <row r="284" spans="6:12" x14ac:dyDescent="0.2">
      <c r="F284">
        <v>282</v>
      </c>
      <c r="G284" s="3" t="str">
        <f t="shared" ca="1" si="25"/>
        <v/>
      </c>
      <c r="H284" s="3" t="str">
        <f t="shared" ca="1" si="26"/>
        <v/>
      </c>
      <c r="I284" t="str">
        <f t="shared" ca="1" si="27"/>
        <v/>
      </c>
      <c r="J284" t="str">
        <f t="shared" ca="1" si="28"/>
        <v/>
      </c>
      <c r="K284" t="str">
        <f t="shared" ca="1" si="29"/>
        <v/>
      </c>
      <c r="L284" t="str">
        <f t="shared" ca="1" si="30"/>
        <v/>
      </c>
    </row>
    <row r="285" spans="6:12" x14ac:dyDescent="0.2">
      <c r="F285">
        <v>283</v>
      </c>
      <c r="G285" s="3" t="str">
        <f t="shared" ca="1" si="25"/>
        <v/>
      </c>
      <c r="H285" s="3" t="str">
        <f t="shared" ca="1" si="26"/>
        <v/>
      </c>
      <c r="I285" t="str">
        <f t="shared" ca="1" si="27"/>
        <v/>
      </c>
      <c r="J285" t="str">
        <f t="shared" ca="1" si="28"/>
        <v/>
      </c>
      <c r="K285" t="str">
        <f t="shared" ca="1" si="29"/>
        <v/>
      </c>
      <c r="L285" t="str">
        <f t="shared" ca="1" si="30"/>
        <v/>
      </c>
    </row>
    <row r="286" spans="6:12" x14ac:dyDescent="0.2">
      <c r="F286">
        <v>284</v>
      </c>
      <c r="G286" s="3" t="str">
        <f t="shared" ca="1" si="25"/>
        <v/>
      </c>
      <c r="H286" s="3" t="str">
        <f t="shared" ca="1" si="26"/>
        <v/>
      </c>
      <c r="I286" t="str">
        <f t="shared" ca="1" si="27"/>
        <v/>
      </c>
      <c r="J286" t="str">
        <f t="shared" ca="1" si="28"/>
        <v/>
      </c>
      <c r="K286" t="str">
        <f t="shared" ca="1" si="29"/>
        <v/>
      </c>
      <c r="L286" t="str">
        <f t="shared" ca="1" si="30"/>
        <v/>
      </c>
    </row>
    <row r="287" spans="6:12" x14ac:dyDescent="0.2">
      <c r="F287">
        <v>285</v>
      </c>
      <c r="G287" s="3" t="str">
        <f t="shared" ca="1" si="25"/>
        <v/>
      </c>
      <c r="H287" s="3" t="str">
        <f t="shared" ca="1" si="26"/>
        <v/>
      </c>
      <c r="I287" t="str">
        <f t="shared" ca="1" si="27"/>
        <v/>
      </c>
      <c r="J287" t="str">
        <f t="shared" ca="1" si="28"/>
        <v/>
      </c>
      <c r="K287" t="str">
        <f t="shared" ca="1" si="29"/>
        <v/>
      </c>
      <c r="L287" t="str">
        <f t="shared" ca="1" si="30"/>
        <v/>
      </c>
    </row>
    <row r="288" spans="6:12" x14ac:dyDescent="0.2">
      <c r="F288">
        <v>286</v>
      </c>
      <c r="G288" s="3" t="str">
        <f t="shared" ca="1" si="25"/>
        <v/>
      </c>
      <c r="H288" s="3" t="str">
        <f t="shared" ca="1" si="26"/>
        <v/>
      </c>
      <c r="I288" t="str">
        <f t="shared" ca="1" si="27"/>
        <v/>
      </c>
      <c r="J288" t="str">
        <f t="shared" ca="1" si="28"/>
        <v/>
      </c>
      <c r="K288" t="str">
        <f t="shared" ca="1" si="29"/>
        <v/>
      </c>
      <c r="L288" t="str">
        <f t="shared" ca="1" si="30"/>
        <v/>
      </c>
    </row>
    <row r="289" spans="6:12" x14ac:dyDescent="0.2">
      <c r="F289">
        <v>287</v>
      </c>
      <c r="G289" s="3" t="str">
        <f t="shared" ca="1" si="25"/>
        <v/>
      </c>
      <c r="H289" s="3" t="str">
        <f t="shared" ca="1" si="26"/>
        <v/>
      </c>
      <c r="I289" t="str">
        <f t="shared" ca="1" si="27"/>
        <v/>
      </c>
      <c r="J289" t="str">
        <f t="shared" ca="1" si="28"/>
        <v/>
      </c>
      <c r="K289" t="str">
        <f t="shared" ca="1" si="29"/>
        <v/>
      </c>
      <c r="L289" t="str">
        <f t="shared" ca="1" si="30"/>
        <v/>
      </c>
    </row>
    <row r="290" spans="6:12" x14ac:dyDescent="0.2">
      <c r="F290">
        <v>288</v>
      </c>
      <c r="G290" s="3" t="str">
        <f t="shared" ca="1" si="25"/>
        <v/>
      </c>
      <c r="H290" s="3" t="str">
        <f t="shared" ca="1" si="26"/>
        <v/>
      </c>
      <c r="I290" t="str">
        <f t="shared" ca="1" si="27"/>
        <v/>
      </c>
      <c r="J290" t="str">
        <f t="shared" ca="1" si="28"/>
        <v/>
      </c>
      <c r="K290" t="str">
        <f t="shared" ca="1" si="29"/>
        <v/>
      </c>
      <c r="L290" t="str">
        <f t="shared" ca="1" si="30"/>
        <v/>
      </c>
    </row>
    <row r="291" spans="6:12" x14ac:dyDescent="0.2">
      <c r="F291">
        <v>289</v>
      </c>
      <c r="G291" s="3" t="str">
        <f t="shared" ca="1" si="25"/>
        <v/>
      </c>
      <c r="H291" s="3" t="str">
        <f t="shared" ca="1" si="26"/>
        <v/>
      </c>
      <c r="I291" t="str">
        <f t="shared" ca="1" si="27"/>
        <v/>
      </c>
      <c r="J291" t="str">
        <f t="shared" ca="1" si="28"/>
        <v/>
      </c>
      <c r="K291" t="str">
        <f t="shared" ca="1" si="29"/>
        <v/>
      </c>
      <c r="L291" t="str">
        <f t="shared" ca="1" si="30"/>
        <v/>
      </c>
    </row>
    <row r="292" spans="6:12" x14ac:dyDescent="0.2">
      <c r="F292">
        <v>290</v>
      </c>
      <c r="G292" s="3" t="str">
        <f t="shared" ca="1" si="25"/>
        <v/>
      </c>
      <c r="H292" s="3" t="str">
        <f t="shared" ca="1" si="26"/>
        <v/>
      </c>
      <c r="I292" t="str">
        <f t="shared" ca="1" si="27"/>
        <v/>
      </c>
      <c r="J292" t="str">
        <f t="shared" ca="1" si="28"/>
        <v/>
      </c>
      <c r="K292" t="str">
        <f t="shared" ca="1" si="29"/>
        <v/>
      </c>
      <c r="L292" t="str">
        <f t="shared" ca="1" si="30"/>
        <v/>
      </c>
    </row>
    <row r="293" spans="6:12" x14ac:dyDescent="0.2">
      <c r="F293">
        <v>291</v>
      </c>
      <c r="G293" s="3" t="str">
        <f t="shared" ca="1" si="25"/>
        <v/>
      </c>
      <c r="H293" s="3" t="str">
        <f t="shared" ca="1" si="26"/>
        <v/>
      </c>
      <c r="I293" t="str">
        <f t="shared" ca="1" si="27"/>
        <v/>
      </c>
      <c r="J293" t="str">
        <f t="shared" ca="1" si="28"/>
        <v/>
      </c>
      <c r="K293" t="str">
        <f t="shared" ca="1" si="29"/>
        <v/>
      </c>
      <c r="L293" t="str">
        <f t="shared" ca="1" si="30"/>
        <v/>
      </c>
    </row>
    <row r="294" spans="6:12" x14ac:dyDescent="0.2">
      <c r="F294">
        <v>292</v>
      </c>
      <c r="G294" s="3" t="str">
        <f t="shared" ca="1" si="25"/>
        <v/>
      </c>
      <c r="H294" s="3" t="str">
        <f t="shared" ca="1" si="26"/>
        <v/>
      </c>
      <c r="I294" t="str">
        <f t="shared" ca="1" si="27"/>
        <v/>
      </c>
      <c r="J294" t="str">
        <f t="shared" ca="1" si="28"/>
        <v/>
      </c>
      <c r="K294" t="str">
        <f t="shared" ca="1" si="29"/>
        <v/>
      </c>
      <c r="L294" t="str">
        <f t="shared" ca="1" si="30"/>
        <v/>
      </c>
    </row>
    <row r="295" spans="6:12" x14ac:dyDescent="0.2">
      <c r="F295">
        <v>293</v>
      </c>
      <c r="G295" s="3" t="str">
        <f t="shared" ca="1" si="25"/>
        <v/>
      </c>
      <c r="H295" s="3" t="str">
        <f t="shared" ca="1" si="26"/>
        <v/>
      </c>
      <c r="I295" t="str">
        <f t="shared" ca="1" si="27"/>
        <v/>
      </c>
      <c r="J295" t="str">
        <f t="shared" ca="1" si="28"/>
        <v/>
      </c>
      <c r="K295" t="str">
        <f t="shared" ca="1" si="29"/>
        <v/>
      </c>
      <c r="L295" t="str">
        <f t="shared" ca="1" si="30"/>
        <v/>
      </c>
    </row>
    <row r="296" spans="6:12" x14ac:dyDescent="0.2">
      <c r="F296">
        <v>294</v>
      </c>
      <c r="G296" s="3" t="str">
        <f t="shared" ca="1" si="25"/>
        <v/>
      </c>
      <c r="H296" s="3" t="str">
        <f t="shared" ca="1" si="26"/>
        <v/>
      </c>
      <c r="I296" t="str">
        <f t="shared" ca="1" si="27"/>
        <v/>
      </c>
      <c r="J296" t="str">
        <f t="shared" ca="1" si="28"/>
        <v/>
      </c>
      <c r="K296" t="str">
        <f t="shared" ca="1" si="29"/>
        <v/>
      </c>
      <c r="L296" t="str">
        <f t="shared" ca="1" si="30"/>
        <v/>
      </c>
    </row>
    <row r="297" spans="6:12" x14ac:dyDescent="0.2">
      <c r="F297">
        <v>295</v>
      </c>
      <c r="G297" s="3" t="str">
        <f t="shared" ca="1" si="25"/>
        <v/>
      </c>
      <c r="H297" s="3" t="str">
        <f t="shared" ca="1" si="26"/>
        <v/>
      </c>
      <c r="I297" t="str">
        <f t="shared" ca="1" si="27"/>
        <v/>
      </c>
      <c r="J297" t="str">
        <f t="shared" ca="1" si="28"/>
        <v/>
      </c>
      <c r="K297" t="str">
        <f t="shared" ca="1" si="29"/>
        <v/>
      </c>
      <c r="L297" t="str">
        <f t="shared" ca="1" si="30"/>
        <v/>
      </c>
    </row>
    <row r="298" spans="6:12" x14ac:dyDescent="0.2">
      <c r="F298">
        <v>296</v>
      </c>
      <c r="G298" s="3" t="str">
        <f t="shared" ca="1" si="25"/>
        <v/>
      </c>
      <c r="H298" s="3" t="str">
        <f t="shared" ca="1" si="26"/>
        <v/>
      </c>
      <c r="I298" t="str">
        <f t="shared" ca="1" si="27"/>
        <v/>
      </c>
      <c r="J298" t="str">
        <f t="shared" ca="1" si="28"/>
        <v/>
      </c>
      <c r="K298" t="str">
        <f t="shared" ca="1" si="29"/>
        <v/>
      </c>
      <c r="L298" t="str">
        <f t="shared" ca="1" si="30"/>
        <v/>
      </c>
    </row>
    <row r="299" spans="6:12" x14ac:dyDescent="0.2">
      <c r="F299">
        <v>297</v>
      </c>
      <c r="G299" s="3" t="str">
        <f t="shared" ca="1" si="25"/>
        <v/>
      </c>
      <c r="H299" s="3" t="str">
        <f t="shared" ca="1" si="26"/>
        <v/>
      </c>
      <c r="I299" t="str">
        <f t="shared" ca="1" si="27"/>
        <v/>
      </c>
      <c r="J299" t="str">
        <f t="shared" ca="1" si="28"/>
        <v/>
      </c>
      <c r="K299" t="str">
        <f t="shared" ca="1" si="29"/>
        <v/>
      </c>
      <c r="L299" t="str">
        <f t="shared" ca="1" si="30"/>
        <v/>
      </c>
    </row>
    <row r="300" spans="6:12" x14ac:dyDescent="0.2">
      <c r="F300">
        <v>298</v>
      </c>
      <c r="G300" s="3" t="str">
        <f t="shared" ca="1" si="25"/>
        <v/>
      </c>
      <c r="H300" s="3" t="str">
        <f t="shared" ca="1" si="26"/>
        <v/>
      </c>
      <c r="I300" t="str">
        <f t="shared" ca="1" si="27"/>
        <v/>
      </c>
      <c r="J300" t="str">
        <f t="shared" ca="1" si="28"/>
        <v/>
      </c>
      <c r="K300" t="str">
        <f t="shared" ca="1" si="29"/>
        <v/>
      </c>
      <c r="L300" t="str">
        <f t="shared" ca="1" si="30"/>
        <v/>
      </c>
    </row>
    <row r="301" spans="6:12" x14ac:dyDescent="0.2">
      <c r="F301">
        <v>299</v>
      </c>
      <c r="G301" s="3" t="str">
        <f t="shared" ca="1" si="25"/>
        <v/>
      </c>
      <c r="H301" s="3" t="str">
        <f t="shared" ca="1" si="26"/>
        <v/>
      </c>
      <c r="I301" t="str">
        <f t="shared" ca="1" si="27"/>
        <v/>
      </c>
      <c r="J301" t="str">
        <f t="shared" ca="1" si="28"/>
        <v/>
      </c>
      <c r="K301" t="str">
        <f t="shared" ca="1" si="29"/>
        <v/>
      </c>
      <c r="L301" t="str">
        <f t="shared" ca="1" si="30"/>
        <v/>
      </c>
    </row>
    <row r="302" spans="6:12" x14ac:dyDescent="0.2">
      <c r="F302">
        <v>300</v>
      </c>
      <c r="G302" s="3" t="str">
        <f t="shared" ca="1" si="25"/>
        <v/>
      </c>
      <c r="H302" s="3" t="str">
        <f t="shared" ca="1" si="26"/>
        <v/>
      </c>
      <c r="I302" t="str">
        <f t="shared" ca="1" si="27"/>
        <v/>
      </c>
      <c r="J302" t="str">
        <f t="shared" ca="1" si="28"/>
        <v/>
      </c>
      <c r="K302" t="str">
        <f t="shared" ca="1" si="29"/>
        <v/>
      </c>
      <c r="L302" t="str">
        <f t="shared" ca="1" si="30"/>
        <v/>
      </c>
    </row>
    <row r="303" spans="6:12" x14ac:dyDescent="0.2">
      <c r="F303">
        <v>301</v>
      </c>
      <c r="G303" s="3" t="str">
        <f t="shared" ca="1" si="25"/>
        <v/>
      </c>
      <c r="H303" s="3" t="str">
        <f t="shared" ca="1" si="26"/>
        <v/>
      </c>
      <c r="I303" t="str">
        <f t="shared" ca="1" si="27"/>
        <v/>
      </c>
      <c r="J303" t="str">
        <f t="shared" ca="1" si="28"/>
        <v/>
      </c>
      <c r="K303" t="str">
        <f t="shared" ca="1" si="29"/>
        <v/>
      </c>
      <c r="L303" t="str">
        <f t="shared" ca="1" si="30"/>
        <v/>
      </c>
    </row>
    <row r="304" spans="6:12" x14ac:dyDescent="0.2">
      <c r="F304">
        <v>302</v>
      </c>
      <c r="G304" s="3" t="str">
        <f t="shared" ca="1" si="25"/>
        <v/>
      </c>
      <c r="H304" s="3" t="str">
        <f t="shared" ca="1" si="26"/>
        <v/>
      </c>
      <c r="I304" t="str">
        <f t="shared" ca="1" si="27"/>
        <v/>
      </c>
      <c r="J304" t="str">
        <f t="shared" ca="1" si="28"/>
        <v/>
      </c>
      <c r="K304" t="str">
        <f t="shared" ca="1" si="29"/>
        <v/>
      </c>
      <c r="L304" t="str">
        <f t="shared" ca="1" si="30"/>
        <v/>
      </c>
    </row>
    <row r="305" spans="6:12" x14ac:dyDescent="0.2">
      <c r="F305">
        <v>303</v>
      </c>
      <c r="G305" s="3" t="str">
        <f t="shared" ca="1" si="25"/>
        <v/>
      </c>
      <c r="H305" s="3" t="str">
        <f t="shared" ca="1" si="26"/>
        <v/>
      </c>
      <c r="I305" t="str">
        <f t="shared" ca="1" si="27"/>
        <v/>
      </c>
      <c r="J305" t="str">
        <f t="shared" ca="1" si="28"/>
        <v/>
      </c>
      <c r="K305" t="str">
        <f t="shared" ca="1" si="29"/>
        <v/>
      </c>
      <c r="L305" t="str">
        <f t="shared" ca="1" si="30"/>
        <v/>
      </c>
    </row>
    <row r="306" spans="6:12" x14ac:dyDescent="0.2">
      <c r="F306">
        <v>304</v>
      </c>
      <c r="G306" s="3" t="str">
        <f t="shared" ca="1" si="25"/>
        <v/>
      </c>
      <c r="H306" s="3" t="str">
        <f t="shared" ca="1" si="26"/>
        <v/>
      </c>
      <c r="I306" t="str">
        <f t="shared" ca="1" si="27"/>
        <v/>
      </c>
      <c r="J306" t="str">
        <f t="shared" ca="1" si="28"/>
        <v/>
      </c>
      <c r="K306" t="str">
        <f t="shared" ca="1" si="29"/>
        <v/>
      </c>
      <c r="L306" t="str">
        <f t="shared" ca="1" si="30"/>
        <v/>
      </c>
    </row>
    <row r="307" spans="6:12" x14ac:dyDescent="0.2">
      <c r="F307">
        <v>305</v>
      </c>
      <c r="G307" s="3" t="str">
        <f t="shared" ca="1" si="25"/>
        <v/>
      </c>
      <c r="H307" s="3" t="str">
        <f t="shared" ca="1" si="26"/>
        <v/>
      </c>
      <c r="I307" t="str">
        <f t="shared" ca="1" si="27"/>
        <v/>
      </c>
      <c r="J307" t="str">
        <f t="shared" ca="1" si="28"/>
        <v/>
      </c>
      <c r="K307" t="str">
        <f t="shared" ca="1" si="29"/>
        <v/>
      </c>
      <c r="L307" t="str">
        <f t="shared" ca="1" si="30"/>
        <v/>
      </c>
    </row>
    <row r="308" spans="6:12" x14ac:dyDescent="0.2">
      <c r="F308">
        <v>306</v>
      </c>
      <c r="G308" s="3" t="str">
        <f t="shared" ca="1" si="25"/>
        <v/>
      </c>
      <c r="H308" s="3" t="str">
        <f t="shared" ca="1" si="26"/>
        <v/>
      </c>
      <c r="I308" t="str">
        <f t="shared" ca="1" si="27"/>
        <v/>
      </c>
      <c r="J308" t="str">
        <f t="shared" ca="1" si="28"/>
        <v/>
      </c>
      <c r="K308" t="str">
        <f t="shared" ca="1" si="29"/>
        <v/>
      </c>
      <c r="L308" t="str">
        <f t="shared" ca="1" si="30"/>
        <v/>
      </c>
    </row>
    <row r="309" spans="6:12" x14ac:dyDescent="0.2">
      <c r="F309">
        <v>307</v>
      </c>
      <c r="G309" s="3" t="str">
        <f t="shared" ca="1" si="25"/>
        <v/>
      </c>
      <c r="H309" s="3" t="str">
        <f t="shared" ca="1" si="26"/>
        <v/>
      </c>
      <c r="I309" t="str">
        <f t="shared" ca="1" si="27"/>
        <v/>
      </c>
      <c r="J309" t="str">
        <f t="shared" ca="1" si="28"/>
        <v/>
      </c>
      <c r="K309" t="str">
        <f t="shared" ca="1" si="29"/>
        <v/>
      </c>
      <c r="L309" t="str">
        <f t="shared" ca="1" si="30"/>
        <v/>
      </c>
    </row>
    <row r="310" spans="6:12" x14ac:dyDescent="0.2">
      <c r="F310">
        <v>308</v>
      </c>
      <c r="G310" s="3" t="str">
        <f t="shared" ca="1" si="25"/>
        <v/>
      </c>
      <c r="H310" s="3" t="str">
        <f t="shared" ca="1" si="26"/>
        <v/>
      </c>
      <c r="I310" t="str">
        <f t="shared" ca="1" si="27"/>
        <v/>
      </c>
      <c r="J310" t="str">
        <f t="shared" ca="1" si="28"/>
        <v/>
      </c>
      <c r="K310" t="str">
        <f t="shared" ca="1" si="29"/>
        <v/>
      </c>
      <c r="L310" t="str">
        <f t="shared" ca="1" si="30"/>
        <v/>
      </c>
    </row>
    <row r="311" spans="6:12" x14ac:dyDescent="0.2">
      <c r="F311">
        <v>309</v>
      </c>
      <c r="G311" s="3" t="str">
        <f t="shared" ca="1" si="25"/>
        <v/>
      </c>
      <c r="H311" s="3" t="str">
        <f t="shared" ca="1" si="26"/>
        <v/>
      </c>
      <c r="I311" t="str">
        <f t="shared" ca="1" si="27"/>
        <v/>
      </c>
      <c r="J311" t="str">
        <f t="shared" ca="1" si="28"/>
        <v/>
      </c>
      <c r="K311" t="str">
        <f t="shared" ca="1" si="29"/>
        <v/>
      </c>
      <c r="L311" t="str">
        <f t="shared" ca="1" si="30"/>
        <v/>
      </c>
    </row>
    <row r="312" spans="6:12" x14ac:dyDescent="0.2">
      <c r="F312">
        <v>310</v>
      </c>
      <c r="G312" s="3" t="str">
        <f t="shared" ca="1" si="25"/>
        <v/>
      </c>
      <c r="H312" s="3" t="str">
        <f t="shared" ca="1" si="26"/>
        <v/>
      </c>
      <c r="I312" t="str">
        <f t="shared" ca="1" si="27"/>
        <v/>
      </c>
      <c r="J312" t="str">
        <f t="shared" ca="1" si="28"/>
        <v/>
      </c>
      <c r="K312" t="str">
        <f t="shared" ca="1" si="29"/>
        <v/>
      </c>
      <c r="L312" t="str">
        <f t="shared" ca="1" si="30"/>
        <v/>
      </c>
    </row>
    <row r="313" spans="6:12" x14ac:dyDescent="0.2">
      <c r="F313">
        <v>311</v>
      </c>
      <c r="G313" s="3" t="str">
        <f t="shared" ca="1" si="25"/>
        <v/>
      </c>
      <c r="H313" s="3" t="str">
        <f t="shared" ca="1" si="26"/>
        <v/>
      </c>
      <c r="I313" t="str">
        <f t="shared" ca="1" si="27"/>
        <v/>
      </c>
      <c r="J313" t="str">
        <f t="shared" ca="1" si="28"/>
        <v/>
      </c>
      <c r="K313" t="str">
        <f t="shared" ca="1" si="29"/>
        <v/>
      </c>
      <c r="L313" t="str">
        <f t="shared" ca="1" si="30"/>
        <v/>
      </c>
    </row>
    <row r="314" spans="6:12" x14ac:dyDescent="0.2">
      <c r="F314">
        <v>312</v>
      </c>
      <c r="G314" s="3" t="str">
        <f t="shared" ca="1" si="25"/>
        <v/>
      </c>
      <c r="H314" s="3" t="str">
        <f t="shared" ca="1" si="26"/>
        <v/>
      </c>
      <c r="I314" t="str">
        <f t="shared" ca="1" si="27"/>
        <v/>
      </c>
      <c r="J314" t="str">
        <f t="shared" ca="1" si="28"/>
        <v/>
      </c>
      <c r="K314" t="str">
        <f t="shared" ca="1" si="29"/>
        <v/>
      </c>
      <c r="L314" t="str">
        <f t="shared" ca="1" si="30"/>
        <v/>
      </c>
    </row>
    <row r="315" spans="6:12" x14ac:dyDescent="0.2">
      <c r="F315">
        <v>313</v>
      </c>
      <c r="G315" s="3" t="str">
        <f t="shared" ca="1" si="25"/>
        <v/>
      </c>
      <c r="H315" s="3" t="str">
        <f t="shared" ca="1" si="26"/>
        <v/>
      </c>
      <c r="I315" t="str">
        <f t="shared" ca="1" si="27"/>
        <v/>
      </c>
      <c r="J315" t="str">
        <f t="shared" ca="1" si="28"/>
        <v/>
      </c>
      <c r="K315" t="str">
        <f t="shared" ca="1" si="29"/>
        <v/>
      </c>
      <c r="L315" t="str">
        <f t="shared" ca="1" si="30"/>
        <v/>
      </c>
    </row>
    <row r="316" spans="6:12" x14ac:dyDescent="0.2">
      <c r="F316">
        <v>314</v>
      </c>
      <c r="G316" s="3" t="str">
        <f t="shared" ca="1" si="25"/>
        <v/>
      </c>
      <c r="H316" s="3" t="str">
        <f t="shared" ca="1" si="26"/>
        <v/>
      </c>
      <c r="I316" t="str">
        <f t="shared" ca="1" si="27"/>
        <v/>
      </c>
      <c r="J316" t="str">
        <f t="shared" ca="1" si="28"/>
        <v/>
      </c>
      <c r="K316" t="str">
        <f t="shared" ca="1" si="29"/>
        <v/>
      </c>
      <c r="L316" t="str">
        <f t="shared" ca="1" si="30"/>
        <v/>
      </c>
    </row>
    <row r="317" spans="6:12" x14ac:dyDescent="0.2">
      <c r="F317">
        <v>315</v>
      </c>
      <c r="G317" s="3" t="str">
        <f t="shared" ca="1" si="25"/>
        <v/>
      </c>
      <c r="H317" s="3" t="str">
        <f t="shared" ca="1" si="26"/>
        <v/>
      </c>
      <c r="I317" t="str">
        <f t="shared" ca="1" si="27"/>
        <v/>
      </c>
      <c r="J317" t="str">
        <f t="shared" ca="1" si="28"/>
        <v/>
      </c>
      <c r="K317" t="str">
        <f t="shared" ca="1" si="29"/>
        <v/>
      </c>
      <c r="L317" t="str">
        <f t="shared" ca="1" si="30"/>
        <v/>
      </c>
    </row>
    <row r="318" spans="6:12" x14ac:dyDescent="0.2">
      <c r="F318">
        <v>316</v>
      </c>
      <c r="G318" s="3" t="str">
        <f t="shared" ca="1" si="25"/>
        <v/>
      </c>
      <c r="H318" s="3" t="str">
        <f t="shared" ca="1" si="26"/>
        <v/>
      </c>
      <c r="I318" t="str">
        <f t="shared" ca="1" si="27"/>
        <v/>
      </c>
      <c r="J318" t="str">
        <f t="shared" ca="1" si="28"/>
        <v/>
      </c>
      <c r="K318" t="str">
        <f t="shared" ca="1" si="29"/>
        <v/>
      </c>
      <c r="L318" t="str">
        <f t="shared" ca="1" si="30"/>
        <v/>
      </c>
    </row>
    <row r="319" spans="6:12" x14ac:dyDescent="0.2">
      <c r="F319">
        <v>317</v>
      </c>
      <c r="G319" s="3" t="str">
        <f t="shared" ca="1" si="25"/>
        <v/>
      </c>
      <c r="H319" s="3" t="str">
        <f t="shared" ca="1" si="26"/>
        <v/>
      </c>
      <c r="I319" t="str">
        <f t="shared" ca="1" si="27"/>
        <v/>
      </c>
      <c r="J319" t="str">
        <f t="shared" ca="1" si="28"/>
        <v/>
      </c>
      <c r="K319" t="str">
        <f t="shared" ca="1" si="29"/>
        <v/>
      </c>
      <c r="L319" t="str">
        <f t="shared" ca="1" si="30"/>
        <v/>
      </c>
    </row>
    <row r="320" spans="6:12" x14ac:dyDescent="0.2">
      <c r="F320">
        <v>318</v>
      </c>
      <c r="G320" s="3" t="str">
        <f t="shared" ca="1" si="25"/>
        <v/>
      </c>
      <c r="H320" s="3" t="str">
        <f t="shared" ca="1" si="26"/>
        <v/>
      </c>
      <c r="I320" t="str">
        <f t="shared" ca="1" si="27"/>
        <v/>
      </c>
      <c r="J320" t="str">
        <f t="shared" ca="1" si="28"/>
        <v/>
      </c>
      <c r="K320" t="str">
        <f t="shared" ca="1" si="29"/>
        <v/>
      </c>
      <c r="L320" t="str">
        <f t="shared" ca="1" si="30"/>
        <v/>
      </c>
    </row>
    <row r="321" spans="6:12" x14ac:dyDescent="0.2">
      <c r="F321">
        <v>319</v>
      </c>
      <c r="G321" s="3" t="str">
        <f t="shared" ca="1" si="25"/>
        <v/>
      </c>
      <c r="H321" s="3" t="str">
        <f t="shared" ca="1" si="26"/>
        <v/>
      </c>
      <c r="I321" t="str">
        <f t="shared" ca="1" si="27"/>
        <v/>
      </c>
      <c r="J321" t="str">
        <f t="shared" ca="1" si="28"/>
        <v/>
      </c>
      <c r="K321" t="str">
        <f t="shared" ca="1" si="29"/>
        <v/>
      </c>
      <c r="L321" t="str">
        <f t="shared" ca="1" si="30"/>
        <v/>
      </c>
    </row>
    <row r="322" spans="6:12" x14ac:dyDescent="0.2">
      <c r="F322">
        <v>320</v>
      </c>
      <c r="G322" s="3" t="str">
        <f t="shared" ca="1" si="25"/>
        <v/>
      </c>
      <c r="H322" s="3" t="str">
        <f t="shared" ca="1" si="26"/>
        <v/>
      </c>
      <c r="I322" t="str">
        <f t="shared" ca="1" si="27"/>
        <v/>
      </c>
      <c r="J322" t="str">
        <f t="shared" ca="1" si="28"/>
        <v/>
      </c>
      <c r="K322" t="str">
        <f t="shared" ca="1" si="29"/>
        <v/>
      </c>
      <c r="L322" t="str">
        <f t="shared" ca="1" si="30"/>
        <v/>
      </c>
    </row>
    <row r="323" spans="6:12" x14ac:dyDescent="0.2">
      <c r="F323">
        <v>321</v>
      </c>
      <c r="G323" s="3" t="str">
        <f t="shared" ref="G323:G386" ca="1" si="31">IF(OR($F323&gt;N,G$2&gt;N_LISTS),"",QUOTIENT($F323-(QUOTIENT($F323,N)*N),N_1)
+IF(MOD($F323-(QUOTIENT($F323,N)*N),N_1)=0,0,1)
+IF(MOD($F323,N)=0,C_L1,0))</f>
        <v/>
      </c>
      <c r="H323" s="3" t="str">
        <f t="shared" ref="H323:H386" ca="1" si="32">IF(OR($F323&gt;N,H$2&gt;N_LISTS),"",QUOTIENT($F323-(QUOTIENT($F323,N_1)*N_1),N_2)
+IF(MOD($F323-(QUOTIENT($F323,N_1)*N_1),N_2)=0,0,1)
+IF(MOD($F323,N_1)=0,C_L2,0))</f>
        <v/>
      </c>
      <c r="I323" t="str">
        <f t="shared" ref="I323:I386" ca="1" si="33">IF(OR($F323&gt;N,I$2&gt;N_LISTS),"",QUOTIENT($F323-(QUOTIENT($F323,N_2)*N_2),N_3)
+IF(MOD($F323-(QUOTIENT($F323,N_2)*N_2),N_3)=0,0,1)
+IF(MOD($F323,N_2)=0,C_L3,0))</f>
        <v/>
      </c>
      <c r="J323" t="str">
        <f t="shared" ref="J323:J386" ca="1" si="34">IF(OR($F323&gt;N,J$2&gt;N_LISTS),"",QUOTIENT($F323-(QUOTIENT($F323,N_3)*N_3),N_4)
+IF(MOD($F323-(QUOTIENT($F323,N_3)*N_3),N_4)=0,0,1)
+IF(MOD($F323,N_3)=0,C_L4,0))</f>
        <v/>
      </c>
      <c r="K323" t="str">
        <f t="shared" ref="K323:K386" ca="1" si="35">IF(OR($F323&gt;N,K$2&gt;N_LISTS),"",QUOTIENT($F323-(QUOTIENT($F323,N_4)*N_4),N_5)
+IF(MOD($F323-(QUOTIENT($F323,N_4)*N_4),N_5)=0,0,1)
+IF(MOD($F323,N_4)=0,C_L5,0))</f>
        <v/>
      </c>
      <c r="L323" t="str">
        <f t="shared" ref="L323:L386" ca="1" si="36">IF(OR($F323&gt;N,L$2&gt;N_LISTS),"",QUOTIENT($F323-(QUOTIENT($F323,N_5)*N_5),1)
+IF(MOD($F323-(QUOTIENT($F323,N_5)*N_5),1)=0,0,1)
+IF(MOD($F323,N_5)=0,C_L6,0))</f>
        <v/>
      </c>
    </row>
    <row r="324" spans="6:12" x14ac:dyDescent="0.2">
      <c r="F324">
        <v>322</v>
      </c>
      <c r="G324" s="3" t="str">
        <f t="shared" ca="1" si="31"/>
        <v/>
      </c>
      <c r="H324" s="3" t="str">
        <f t="shared" ca="1" si="32"/>
        <v/>
      </c>
      <c r="I324" t="str">
        <f t="shared" ca="1" si="33"/>
        <v/>
      </c>
      <c r="J324" t="str">
        <f t="shared" ca="1" si="34"/>
        <v/>
      </c>
      <c r="K324" t="str">
        <f t="shared" ca="1" si="35"/>
        <v/>
      </c>
      <c r="L324" t="str">
        <f t="shared" ca="1" si="36"/>
        <v/>
      </c>
    </row>
    <row r="325" spans="6:12" x14ac:dyDescent="0.2">
      <c r="F325">
        <v>323</v>
      </c>
      <c r="G325" s="3" t="str">
        <f t="shared" ca="1" si="31"/>
        <v/>
      </c>
      <c r="H325" s="3" t="str">
        <f t="shared" ca="1" si="32"/>
        <v/>
      </c>
      <c r="I325" t="str">
        <f t="shared" ca="1" si="33"/>
        <v/>
      </c>
      <c r="J325" t="str">
        <f t="shared" ca="1" si="34"/>
        <v/>
      </c>
      <c r="K325" t="str">
        <f t="shared" ca="1" si="35"/>
        <v/>
      </c>
      <c r="L325" t="str">
        <f t="shared" ca="1" si="36"/>
        <v/>
      </c>
    </row>
    <row r="326" spans="6:12" x14ac:dyDescent="0.2">
      <c r="F326">
        <v>324</v>
      </c>
      <c r="G326" s="3" t="str">
        <f t="shared" ca="1" si="31"/>
        <v/>
      </c>
      <c r="H326" s="3" t="str">
        <f t="shared" ca="1" si="32"/>
        <v/>
      </c>
      <c r="I326" t="str">
        <f t="shared" ca="1" si="33"/>
        <v/>
      </c>
      <c r="J326" t="str">
        <f t="shared" ca="1" si="34"/>
        <v/>
      </c>
      <c r="K326" t="str">
        <f t="shared" ca="1" si="35"/>
        <v/>
      </c>
      <c r="L326" t="str">
        <f t="shared" ca="1" si="36"/>
        <v/>
      </c>
    </row>
    <row r="327" spans="6:12" x14ac:dyDescent="0.2">
      <c r="F327">
        <v>325</v>
      </c>
      <c r="G327" s="3" t="str">
        <f t="shared" ca="1" si="31"/>
        <v/>
      </c>
      <c r="H327" s="3" t="str">
        <f t="shared" ca="1" si="32"/>
        <v/>
      </c>
      <c r="I327" t="str">
        <f t="shared" ca="1" si="33"/>
        <v/>
      </c>
      <c r="J327" t="str">
        <f t="shared" ca="1" si="34"/>
        <v/>
      </c>
      <c r="K327" t="str">
        <f t="shared" ca="1" si="35"/>
        <v/>
      </c>
      <c r="L327" t="str">
        <f t="shared" ca="1" si="36"/>
        <v/>
      </c>
    </row>
    <row r="328" spans="6:12" x14ac:dyDescent="0.2">
      <c r="F328">
        <v>326</v>
      </c>
      <c r="G328" s="3" t="str">
        <f t="shared" ca="1" si="31"/>
        <v/>
      </c>
      <c r="H328" s="3" t="str">
        <f t="shared" ca="1" si="32"/>
        <v/>
      </c>
      <c r="I328" t="str">
        <f t="shared" ca="1" si="33"/>
        <v/>
      </c>
      <c r="J328" t="str">
        <f t="shared" ca="1" si="34"/>
        <v/>
      </c>
      <c r="K328" t="str">
        <f t="shared" ca="1" si="35"/>
        <v/>
      </c>
      <c r="L328" t="str">
        <f t="shared" ca="1" si="36"/>
        <v/>
      </c>
    </row>
    <row r="329" spans="6:12" x14ac:dyDescent="0.2">
      <c r="F329">
        <v>327</v>
      </c>
      <c r="G329" s="3" t="str">
        <f t="shared" ca="1" si="31"/>
        <v/>
      </c>
      <c r="H329" s="3" t="str">
        <f t="shared" ca="1" si="32"/>
        <v/>
      </c>
      <c r="I329" t="str">
        <f t="shared" ca="1" si="33"/>
        <v/>
      </c>
      <c r="J329" t="str">
        <f t="shared" ca="1" si="34"/>
        <v/>
      </c>
      <c r="K329" t="str">
        <f t="shared" ca="1" si="35"/>
        <v/>
      </c>
      <c r="L329" t="str">
        <f t="shared" ca="1" si="36"/>
        <v/>
      </c>
    </row>
    <row r="330" spans="6:12" x14ac:dyDescent="0.2">
      <c r="F330">
        <v>328</v>
      </c>
      <c r="G330" s="3" t="str">
        <f t="shared" ca="1" si="31"/>
        <v/>
      </c>
      <c r="H330" s="3" t="str">
        <f t="shared" ca="1" si="32"/>
        <v/>
      </c>
      <c r="I330" t="str">
        <f t="shared" ca="1" si="33"/>
        <v/>
      </c>
      <c r="J330" t="str">
        <f t="shared" ca="1" si="34"/>
        <v/>
      </c>
      <c r="K330" t="str">
        <f t="shared" ca="1" si="35"/>
        <v/>
      </c>
      <c r="L330" t="str">
        <f t="shared" ca="1" si="36"/>
        <v/>
      </c>
    </row>
    <row r="331" spans="6:12" x14ac:dyDescent="0.2">
      <c r="F331">
        <v>329</v>
      </c>
      <c r="G331" s="3" t="str">
        <f t="shared" ca="1" si="31"/>
        <v/>
      </c>
      <c r="H331" s="3" t="str">
        <f t="shared" ca="1" si="32"/>
        <v/>
      </c>
      <c r="I331" t="str">
        <f t="shared" ca="1" si="33"/>
        <v/>
      </c>
      <c r="J331" t="str">
        <f t="shared" ca="1" si="34"/>
        <v/>
      </c>
      <c r="K331" t="str">
        <f t="shared" ca="1" si="35"/>
        <v/>
      </c>
      <c r="L331" t="str">
        <f t="shared" ca="1" si="36"/>
        <v/>
      </c>
    </row>
    <row r="332" spans="6:12" x14ac:dyDescent="0.2">
      <c r="F332">
        <v>330</v>
      </c>
      <c r="G332" s="3" t="str">
        <f t="shared" ca="1" si="31"/>
        <v/>
      </c>
      <c r="H332" s="3" t="str">
        <f t="shared" ca="1" si="32"/>
        <v/>
      </c>
      <c r="I332" t="str">
        <f t="shared" ca="1" si="33"/>
        <v/>
      </c>
      <c r="J332" t="str">
        <f t="shared" ca="1" si="34"/>
        <v/>
      </c>
      <c r="K332" t="str">
        <f t="shared" ca="1" si="35"/>
        <v/>
      </c>
      <c r="L332" t="str">
        <f t="shared" ca="1" si="36"/>
        <v/>
      </c>
    </row>
    <row r="333" spans="6:12" x14ac:dyDescent="0.2">
      <c r="F333">
        <v>331</v>
      </c>
      <c r="G333" s="3" t="str">
        <f t="shared" ca="1" si="31"/>
        <v/>
      </c>
      <c r="H333" s="3" t="str">
        <f t="shared" ca="1" si="32"/>
        <v/>
      </c>
      <c r="I333" t="str">
        <f t="shared" ca="1" si="33"/>
        <v/>
      </c>
      <c r="J333" t="str">
        <f t="shared" ca="1" si="34"/>
        <v/>
      </c>
      <c r="K333" t="str">
        <f t="shared" ca="1" si="35"/>
        <v/>
      </c>
      <c r="L333" t="str">
        <f t="shared" ca="1" si="36"/>
        <v/>
      </c>
    </row>
    <row r="334" spans="6:12" x14ac:dyDescent="0.2">
      <c r="F334">
        <v>332</v>
      </c>
      <c r="G334" s="3" t="str">
        <f t="shared" ca="1" si="31"/>
        <v/>
      </c>
      <c r="H334" s="3" t="str">
        <f t="shared" ca="1" si="32"/>
        <v/>
      </c>
      <c r="I334" t="str">
        <f t="shared" ca="1" si="33"/>
        <v/>
      </c>
      <c r="J334" t="str">
        <f t="shared" ca="1" si="34"/>
        <v/>
      </c>
      <c r="K334" t="str">
        <f t="shared" ca="1" si="35"/>
        <v/>
      </c>
      <c r="L334" t="str">
        <f t="shared" ca="1" si="36"/>
        <v/>
      </c>
    </row>
    <row r="335" spans="6:12" x14ac:dyDescent="0.2">
      <c r="F335">
        <v>333</v>
      </c>
      <c r="G335" s="3" t="str">
        <f t="shared" ca="1" si="31"/>
        <v/>
      </c>
      <c r="H335" s="3" t="str">
        <f t="shared" ca="1" si="32"/>
        <v/>
      </c>
      <c r="I335" t="str">
        <f t="shared" ca="1" si="33"/>
        <v/>
      </c>
      <c r="J335" t="str">
        <f t="shared" ca="1" si="34"/>
        <v/>
      </c>
      <c r="K335" t="str">
        <f t="shared" ca="1" si="35"/>
        <v/>
      </c>
      <c r="L335" t="str">
        <f t="shared" ca="1" si="36"/>
        <v/>
      </c>
    </row>
    <row r="336" spans="6:12" x14ac:dyDescent="0.2">
      <c r="F336">
        <v>334</v>
      </c>
      <c r="G336" s="3" t="str">
        <f t="shared" ca="1" si="31"/>
        <v/>
      </c>
      <c r="H336" s="3" t="str">
        <f t="shared" ca="1" si="32"/>
        <v/>
      </c>
      <c r="I336" t="str">
        <f t="shared" ca="1" si="33"/>
        <v/>
      </c>
      <c r="J336" t="str">
        <f t="shared" ca="1" si="34"/>
        <v/>
      </c>
      <c r="K336" t="str">
        <f t="shared" ca="1" si="35"/>
        <v/>
      </c>
      <c r="L336" t="str">
        <f t="shared" ca="1" si="36"/>
        <v/>
      </c>
    </row>
    <row r="337" spans="6:12" x14ac:dyDescent="0.2">
      <c r="F337">
        <v>335</v>
      </c>
      <c r="G337" s="3" t="str">
        <f t="shared" ca="1" si="31"/>
        <v/>
      </c>
      <c r="H337" s="3" t="str">
        <f t="shared" ca="1" si="32"/>
        <v/>
      </c>
      <c r="I337" t="str">
        <f t="shared" ca="1" si="33"/>
        <v/>
      </c>
      <c r="J337" t="str">
        <f t="shared" ca="1" si="34"/>
        <v/>
      </c>
      <c r="K337" t="str">
        <f t="shared" ca="1" si="35"/>
        <v/>
      </c>
      <c r="L337" t="str">
        <f t="shared" ca="1" si="36"/>
        <v/>
      </c>
    </row>
    <row r="338" spans="6:12" x14ac:dyDescent="0.2">
      <c r="F338">
        <v>336</v>
      </c>
      <c r="G338" s="3" t="str">
        <f t="shared" ca="1" si="31"/>
        <v/>
      </c>
      <c r="H338" s="3" t="str">
        <f t="shared" ca="1" si="32"/>
        <v/>
      </c>
      <c r="I338" t="str">
        <f t="shared" ca="1" si="33"/>
        <v/>
      </c>
      <c r="J338" t="str">
        <f t="shared" ca="1" si="34"/>
        <v/>
      </c>
      <c r="K338" t="str">
        <f t="shared" ca="1" si="35"/>
        <v/>
      </c>
      <c r="L338" t="str">
        <f t="shared" ca="1" si="36"/>
        <v/>
      </c>
    </row>
    <row r="339" spans="6:12" x14ac:dyDescent="0.2">
      <c r="F339">
        <v>337</v>
      </c>
      <c r="G339" s="3" t="str">
        <f t="shared" ca="1" si="31"/>
        <v/>
      </c>
      <c r="H339" s="3" t="str">
        <f t="shared" ca="1" si="32"/>
        <v/>
      </c>
      <c r="I339" t="str">
        <f t="shared" ca="1" si="33"/>
        <v/>
      </c>
      <c r="J339" t="str">
        <f t="shared" ca="1" si="34"/>
        <v/>
      </c>
      <c r="K339" t="str">
        <f t="shared" ca="1" si="35"/>
        <v/>
      </c>
      <c r="L339" t="str">
        <f t="shared" ca="1" si="36"/>
        <v/>
      </c>
    </row>
    <row r="340" spans="6:12" x14ac:dyDescent="0.2">
      <c r="F340">
        <v>338</v>
      </c>
      <c r="G340" s="3" t="str">
        <f t="shared" ca="1" si="31"/>
        <v/>
      </c>
      <c r="H340" s="3" t="str">
        <f t="shared" ca="1" si="32"/>
        <v/>
      </c>
      <c r="I340" t="str">
        <f t="shared" ca="1" si="33"/>
        <v/>
      </c>
      <c r="J340" t="str">
        <f t="shared" ca="1" si="34"/>
        <v/>
      </c>
      <c r="K340" t="str">
        <f t="shared" ca="1" si="35"/>
        <v/>
      </c>
      <c r="L340" t="str">
        <f t="shared" ca="1" si="36"/>
        <v/>
      </c>
    </row>
    <row r="341" spans="6:12" x14ac:dyDescent="0.2">
      <c r="F341">
        <v>339</v>
      </c>
      <c r="G341" s="3" t="str">
        <f t="shared" ca="1" si="31"/>
        <v/>
      </c>
      <c r="H341" s="3" t="str">
        <f t="shared" ca="1" si="32"/>
        <v/>
      </c>
      <c r="I341" t="str">
        <f t="shared" ca="1" si="33"/>
        <v/>
      </c>
      <c r="J341" t="str">
        <f t="shared" ca="1" si="34"/>
        <v/>
      </c>
      <c r="K341" t="str">
        <f t="shared" ca="1" si="35"/>
        <v/>
      </c>
      <c r="L341" t="str">
        <f t="shared" ca="1" si="36"/>
        <v/>
      </c>
    </row>
    <row r="342" spans="6:12" x14ac:dyDescent="0.2">
      <c r="F342">
        <v>340</v>
      </c>
      <c r="G342" s="3" t="str">
        <f t="shared" ca="1" si="31"/>
        <v/>
      </c>
      <c r="H342" s="3" t="str">
        <f t="shared" ca="1" si="32"/>
        <v/>
      </c>
      <c r="I342" t="str">
        <f t="shared" ca="1" si="33"/>
        <v/>
      </c>
      <c r="J342" t="str">
        <f t="shared" ca="1" si="34"/>
        <v/>
      </c>
      <c r="K342" t="str">
        <f t="shared" ca="1" si="35"/>
        <v/>
      </c>
      <c r="L342" t="str">
        <f t="shared" ca="1" si="36"/>
        <v/>
      </c>
    </row>
    <row r="343" spans="6:12" x14ac:dyDescent="0.2">
      <c r="F343">
        <v>341</v>
      </c>
      <c r="G343" s="3" t="str">
        <f t="shared" ca="1" si="31"/>
        <v/>
      </c>
      <c r="H343" s="3" t="str">
        <f t="shared" ca="1" si="32"/>
        <v/>
      </c>
      <c r="I343" t="str">
        <f t="shared" ca="1" si="33"/>
        <v/>
      </c>
      <c r="J343" t="str">
        <f t="shared" ca="1" si="34"/>
        <v/>
      </c>
      <c r="K343" t="str">
        <f t="shared" ca="1" si="35"/>
        <v/>
      </c>
      <c r="L343" t="str">
        <f t="shared" ca="1" si="36"/>
        <v/>
      </c>
    </row>
    <row r="344" spans="6:12" x14ac:dyDescent="0.2">
      <c r="F344">
        <v>342</v>
      </c>
      <c r="G344" s="3" t="str">
        <f t="shared" ca="1" si="31"/>
        <v/>
      </c>
      <c r="H344" s="3" t="str">
        <f t="shared" ca="1" si="32"/>
        <v/>
      </c>
      <c r="I344" t="str">
        <f t="shared" ca="1" si="33"/>
        <v/>
      </c>
      <c r="J344" t="str">
        <f t="shared" ca="1" si="34"/>
        <v/>
      </c>
      <c r="K344" t="str">
        <f t="shared" ca="1" si="35"/>
        <v/>
      </c>
      <c r="L344" t="str">
        <f t="shared" ca="1" si="36"/>
        <v/>
      </c>
    </row>
    <row r="345" spans="6:12" x14ac:dyDescent="0.2">
      <c r="F345">
        <v>343</v>
      </c>
      <c r="G345" s="3" t="str">
        <f t="shared" ca="1" si="31"/>
        <v/>
      </c>
      <c r="H345" s="3" t="str">
        <f t="shared" ca="1" si="32"/>
        <v/>
      </c>
      <c r="I345" t="str">
        <f t="shared" ca="1" si="33"/>
        <v/>
      </c>
      <c r="J345" t="str">
        <f t="shared" ca="1" si="34"/>
        <v/>
      </c>
      <c r="K345" t="str">
        <f t="shared" ca="1" si="35"/>
        <v/>
      </c>
      <c r="L345" t="str">
        <f t="shared" ca="1" si="36"/>
        <v/>
      </c>
    </row>
    <row r="346" spans="6:12" x14ac:dyDescent="0.2">
      <c r="F346">
        <v>344</v>
      </c>
      <c r="G346" s="3" t="str">
        <f t="shared" ca="1" si="31"/>
        <v/>
      </c>
      <c r="H346" s="3" t="str">
        <f t="shared" ca="1" si="32"/>
        <v/>
      </c>
      <c r="I346" t="str">
        <f t="shared" ca="1" si="33"/>
        <v/>
      </c>
      <c r="J346" t="str">
        <f t="shared" ca="1" si="34"/>
        <v/>
      </c>
      <c r="K346" t="str">
        <f t="shared" ca="1" si="35"/>
        <v/>
      </c>
      <c r="L346" t="str">
        <f t="shared" ca="1" si="36"/>
        <v/>
      </c>
    </row>
    <row r="347" spans="6:12" x14ac:dyDescent="0.2">
      <c r="F347">
        <v>345</v>
      </c>
      <c r="G347" s="3" t="str">
        <f t="shared" ca="1" si="31"/>
        <v/>
      </c>
      <c r="H347" s="3" t="str">
        <f t="shared" ca="1" si="32"/>
        <v/>
      </c>
      <c r="I347" t="str">
        <f t="shared" ca="1" si="33"/>
        <v/>
      </c>
      <c r="J347" t="str">
        <f t="shared" ca="1" si="34"/>
        <v/>
      </c>
      <c r="K347" t="str">
        <f t="shared" ca="1" si="35"/>
        <v/>
      </c>
      <c r="L347" t="str">
        <f t="shared" ca="1" si="36"/>
        <v/>
      </c>
    </row>
    <row r="348" spans="6:12" x14ac:dyDescent="0.2">
      <c r="F348">
        <v>346</v>
      </c>
      <c r="G348" s="3" t="str">
        <f t="shared" ca="1" si="31"/>
        <v/>
      </c>
      <c r="H348" s="3" t="str">
        <f t="shared" ca="1" si="32"/>
        <v/>
      </c>
      <c r="I348" t="str">
        <f t="shared" ca="1" si="33"/>
        <v/>
      </c>
      <c r="J348" t="str">
        <f t="shared" ca="1" si="34"/>
        <v/>
      </c>
      <c r="K348" t="str">
        <f t="shared" ca="1" si="35"/>
        <v/>
      </c>
      <c r="L348" t="str">
        <f t="shared" ca="1" si="36"/>
        <v/>
      </c>
    </row>
    <row r="349" spans="6:12" x14ac:dyDescent="0.2">
      <c r="F349">
        <v>347</v>
      </c>
      <c r="G349" s="3" t="str">
        <f t="shared" ca="1" si="31"/>
        <v/>
      </c>
      <c r="H349" s="3" t="str">
        <f t="shared" ca="1" si="32"/>
        <v/>
      </c>
      <c r="I349" t="str">
        <f t="shared" ca="1" si="33"/>
        <v/>
      </c>
      <c r="J349" t="str">
        <f t="shared" ca="1" si="34"/>
        <v/>
      </c>
      <c r="K349" t="str">
        <f t="shared" ca="1" si="35"/>
        <v/>
      </c>
      <c r="L349" t="str">
        <f t="shared" ca="1" si="36"/>
        <v/>
      </c>
    </row>
    <row r="350" spans="6:12" x14ac:dyDescent="0.2">
      <c r="F350">
        <v>348</v>
      </c>
      <c r="G350" s="3" t="str">
        <f t="shared" ca="1" si="31"/>
        <v/>
      </c>
      <c r="H350" s="3" t="str">
        <f t="shared" ca="1" si="32"/>
        <v/>
      </c>
      <c r="I350" t="str">
        <f t="shared" ca="1" si="33"/>
        <v/>
      </c>
      <c r="J350" t="str">
        <f t="shared" ca="1" si="34"/>
        <v/>
      </c>
      <c r="K350" t="str">
        <f t="shared" ca="1" si="35"/>
        <v/>
      </c>
      <c r="L350" t="str">
        <f t="shared" ca="1" si="36"/>
        <v/>
      </c>
    </row>
    <row r="351" spans="6:12" x14ac:dyDescent="0.2">
      <c r="F351">
        <v>349</v>
      </c>
      <c r="G351" s="3" t="str">
        <f t="shared" ca="1" si="31"/>
        <v/>
      </c>
      <c r="H351" s="3" t="str">
        <f t="shared" ca="1" si="32"/>
        <v/>
      </c>
      <c r="I351" t="str">
        <f t="shared" ca="1" si="33"/>
        <v/>
      </c>
      <c r="J351" t="str">
        <f t="shared" ca="1" si="34"/>
        <v/>
      </c>
      <c r="K351" t="str">
        <f t="shared" ca="1" si="35"/>
        <v/>
      </c>
      <c r="L351" t="str">
        <f t="shared" ca="1" si="36"/>
        <v/>
      </c>
    </row>
    <row r="352" spans="6:12" x14ac:dyDescent="0.2">
      <c r="F352">
        <v>350</v>
      </c>
      <c r="G352" s="3" t="str">
        <f t="shared" ca="1" si="31"/>
        <v/>
      </c>
      <c r="H352" s="3" t="str">
        <f t="shared" ca="1" si="32"/>
        <v/>
      </c>
      <c r="I352" t="str">
        <f t="shared" ca="1" si="33"/>
        <v/>
      </c>
      <c r="J352" t="str">
        <f t="shared" ca="1" si="34"/>
        <v/>
      </c>
      <c r="K352" t="str">
        <f t="shared" ca="1" si="35"/>
        <v/>
      </c>
      <c r="L352" t="str">
        <f t="shared" ca="1" si="36"/>
        <v/>
      </c>
    </row>
    <row r="353" spans="6:12" x14ac:dyDescent="0.2">
      <c r="F353">
        <v>351</v>
      </c>
      <c r="G353" s="3" t="str">
        <f t="shared" ca="1" si="31"/>
        <v/>
      </c>
      <c r="H353" s="3" t="str">
        <f t="shared" ca="1" si="32"/>
        <v/>
      </c>
      <c r="I353" t="str">
        <f t="shared" ca="1" si="33"/>
        <v/>
      </c>
      <c r="J353" t="str">
        <f t="shared" ca="1" si="34"/>
        <v/>
      </c>
      <c r="K353" t="str">
        <f t="shared" ca="1" si="35"/>
        <v/>
      </c>
      <c r="L353" t="str">
        <f t="shared" ca="1" si="36"/>
        <v/>
      </c>
    </row>
    <row r="354" spans="6:12" x14ac:dyDescent="0.2">
      <c r="F354">
        <v>352</v>
      </c>
      <c r="G354" s="3" t="str">
        <f t="shared" ca="1" si="31"/>
        <v/>
      </c>
      <c r="H354" s="3" t="str">
        <f t="shared" ca="1" si="32"/>
        <v/>
      </c>
      <c r="I354" t="str">
        <f t="shared" ca="1" si="33"/>
        <v/>
      </c>
      <c r="J354" t="str">
        <f t="shared" ca="1" si="34"/>
        <v/>
      </c>
      <c r="K354" t="str">
        <f t="shared" ca="1" si="35"/>
        <v/>
      </c>
      <c r="L354" t="str">
        <f t="shared" ca="1" si="36"/>
        <v/>
      </c>
    </row>
    <row r="355" spans="6:12" x14ac:dyDescent="0.2">
      <c r="F355">
        <v>353</v>
      </c>
      <c r="G355" s="3" t="str">
        <f t="shared" ca="1" si="31"/>
        <v/>
      </c>
      <c r="H355" s="3" t="str">
        <f t="shared" ca="1" si="32"/>
        <v/>
      </c>
      <c r="I355" t="str">
        <f t="shared" ca="1" si="33"/>
        <v/>
      </c>
      <c r="J355" t="str">
        <f t="shared" ca="1" si="34"/>
        <v/>
      </c>
      <c r="K355" t="str">
        <f t="shared" ca="1" si="35"/>
        <v/>
      </c>
      <c r="L355" t="str">
        <f t="shared" ca="1" si="36"/>
        <v/>
      </c>
    </row>
    <row r="356" spans="6:12" x14ac:dyDescent="0.2">
      <c r="F356">
        <v>354</v>
      </c>
      <c r="G356" s="3" t="str">
        <f t="shared" ca="1" si="31"/>
        <v/>
      </c>
      <c r="H356" s="3" t="str">
        <f t="shared" ca="1" si="32"/>
        <v/>
      </c>
      <c r="I356" t="str">
        <f t="shared" ca="1" si="33"/>
        <v/>
      </c>
      <c r="J356" t="str">
        <f t="shared" ca="1" si="34"/>
        <v/>
      </c>
      <c r="K356" t="str">
        <f t="shared" ca="1" si="35"/>
        <v/>
      </c>
      <c r="L356" t="str">
        <f t="shared" ca="1" si="36"/>
        <v/>
      </c>
    </row>
    <row r="357" spans="6:12" x14ac:dyDescent="0.2">
      <c r="F357">
        <v>355</v>
      </c>
      <c r="G357" s="3" t="str">
        <f t="shared" ca="1" si="31"/>
        <v/>
      </c>
      <c r="H357" s="3" t="str">
        <f t="shared" ca="1" si="32"/>
        <v/>
      </c>
      <c r="I357" t="str">
        <f t="shared" ca="1" si="33"/>
        <v/>
      </c>
      <c r="J357" t="str">
        <f t="shared" ca="1" si="34"/>
        <v/>
      </c>
      <c r="K357" t="str">
        <f t="shared" ca="1" si="35"/>
        <v/>
      </c>
      <c r="L357" t="str">
        <f t="shared" ca="1" si="36"/>
        <v/>
      </c>
    </row>
    <row r="358" spans="6:12" x14ac:dyDescent="0.2">
      <c r="F358">
        <v>356</v>
      </c>
      <c r="G358" s="3" t="str">
        <f t="shared" ca="1" si="31"/>
        <v/>
      </c>
      <c r="H358" s="3" t="str">
        <f t="shared" ca="1" si="32"/>
        <v/>
      </c>
      <c r="I358" t="str">
        <f t="shared" ca="1" si="33"/>
        <v/>
      </c>
      <c r="J358" t="str">
        <f t="shared" ca="1" si="34"/>
        <v/>
      </c>
      <c r="K358" t="str">
        <f t="shared" ca="1" si="35"/>
        <v/>
      </c>
      <c r="L358" t="str">
        <f t="shared" ca="1" si="36"/>
        <v/>
      </c>
    </row>
    <row r="359" spans="6:12" x14ac:dyDescent="0.2">
      <c r="F359">
        <v>357</v>
      </c>
      <c r="G359" s="3" t="str">
        <f t="shared" ca="1" si="31"/>
        <v/>
      </c>
      <c r="H359" s="3" t="str">
        <f t="shared" ca="1" si="32"/>
        <v/>
      </c>
      <c r="I359" t="str">
        <f t="shared" ca="1" si="33"/>
        <v/>
      </c>
      <c r="J359" t="str">
        <f t="shared" ca="1" si="34"/>
        <v/>
      </c>
      <c r="K359" t="str">
        <f t="shared" ca="1" si="35"/>
        <v/>
      </c>
      <c r="L359" t="str">
        <f t="shared" ca="1" si="36"/>
        <v/>
      </c>
    </row>
    <row r="360" spans="6:12" x14ac:dyDescent="0.2">
      <c r="F360">
        <v>358</v>
      </c>
      <c r="G360" s="3" t="str">
        <f t="shared" ca="1" si="31"/>
        <v/>
      </c>
      <c r="H360" s="3" t="str">
        <f t="shared" ca="1" si="32"/>
        <v/>
      </c>
      <c r="I360" t="str">
        <f t="shared" ca="1" si="33"/>
        <v/>
      </c>
      <c r="J360" t="str">
        <f t="shared" ca="1" si="34"/>
        <v/>
      </c>
      <c r="K360" t="str">
        <f t="shared" ca="1" si="35"/>
        <v/>
      </c>
      <c r="L360" t="str">
        <f t="shared" ca="1" si="36"/>
        <v/>
      </c>
    </row>
    <row r="361" spans="6:12" x14ac:dyDescent="0.2">
      <c r="F361">
        <v>359</v>
      </c>
      <c r="G361" s="3" t="str">
        <f t="shared" ca="1" si="31"/>
        <v/>
      </c>
      <c r="H361" s="3" t="str">
        <f t="shared" ca="1" si="32"/>
        <v/>
      </c>
      <c r="I361" t="str">
        <f t="shared" ca="1" si="33"/>
        <v/>
      </c>
      <c r="J361" t="str">
        <f t="shared" ca="1" si="34"/>
        <v/>
      </c>
      <c r="K361" t="str">
        <f t="shared" ca="1" si="35"/>
        <v/>
      </c>
      <c r="L361" t="str">
        <f t="shared" ca="1" si="36"/>
        <v/>
      </c>
    </row>
    <row r="362" spans="6:12" x14ac:dyDescent="0.2">
      <c r="F362">
        <v>360</v>
      </c>
      <c r="G362" s="3" t="str">
        <f t="shared" ca="1" si="31"/>
        <v/>
      </c>
      <c r="H362" s="3" t="str">
        <f t="shared" ca="1" si="32"/>
        <v/>
      </c>
      <c r="I362" t="str">
        <f t="shared" ca="1" si="33"/>
        <v/>
      </c>
      <c r="J362" t="str">
        <f t="shared" ca="1" si="34"/>
        <v/>
      </c>
      <c r="K362" t="str">
        <f t="shared" ca="1" si="35"/>
        <v/>
      </c>
      <c r="L362" t="str">
        <f t="shared" ca="1" si="36"/>
        <v/>
      </c>
    </row>
    <row r="363" spans="6:12" x14ac:dyDescent="0.2">
      <c r="F363">
        <v>361</v>
      </c>
      <c r="G363" s="3" t="str">
        <f t="shared" ca="1" si="31"/>
        <v/>
      </c>
      <c r="H363" s="3" t="str">
        <f t="shared" ca="1" si="32"/>
        <v/>
      </c>
      <c r="I363" t="str">
        <f t="shared" ca="1" si="33"/>
        <v/>
      </c>
      <c r="J363" t="str">
        <f t="shared" ca="1" si="34"/>
        <v/>
      </c>
      <c r="K363" t="str">
        <f t="shared" ca="1" si="35"/>
        <v/>
      </c>
      <c r="L363" t="str">
        <f t="shared" ca="1" si="36"/>
        <v/>
      </c>
    </row>
    <row r="364" spans="6:12" x14ac:dyDescent="0.2">
      <c r="F364">
        <v>362</v>
      </c>
      <c r="G364" s="3" t="str">
        <f t="shared" ca="1" si="31"/>
        <v/>
      </c>
      <c r="H364" s="3" t="str">
        <f t="shared" ca="1" si="32"/>
        <v/>
      </c>
      <c r="I364" t="str">
        <f t="shared" ca="1" si="33"/>
        <v/>
      </c>
      <c r="J364" t="str">
        <f t="shared" ca="1" si="34"/>
        <v/>
      </c>
      <c r="K364" t="str">
        <f t="shared" ca="1" si="35"/>
        <v/>
      </c>
      <c r="L364" t="str">
        <f t="shared" ca="1" si="36"/>
        <v/>
      </c>
    </row>
    <row r="365" spans="6:12" x14ac:dyDescent="0.2">
      <c r="F365">
        <v>363</v>
      </c>
      <c r="G365" s="3" t="str">
        <f t="shared" ca="1" si="31"/>
        <v/>
      </c>
      <c r="H365" s="3" t="str">
        <f t="shared" ca="1" si="32"/>
        <v/>
      </c>
      <c r="I365" t="str">
        <f t="shared" ca="1" si="33"/>
        <v/>
      </c>
      <c r="J365" t="str">
        <f t="shared" ca="1" si="34"/>
        <v/>
      </c>
      <c r="K365" t="str">
        <f t="shared" ca="1" si="35"/>
        <v/>
      </c>
      <c r="L365" t="str">
        <f t="shared" ca="1" si="36"/>
        <v/>
      </c>
    </row>
    <row r="366" spans="6:12" x14ac:dyDescent="0.2">
      <c r="F366">
        <v>364</v>
      </c>
      <c r="G366" s="3" t="str">
        <f t="shared" ca="1" si="31"/>
        <v/>
      </c>
      <c r="H366" s="3" t="str">
        <f t="shared" ca="1" si="32"/>
        <v/>
      </c>
      <c r="I366" t="str">
        <f t="shared" ca="1" si="33"/>
        <v/>
      </c>
      <c r="J366" t="str">
        <f t="shared" ca="1" si="34"/>
        <v/>
      </c>
      <c r="K366" t="str">
        <f t="shared" ca="1" si="35"/>
        <v/>
      </c>
      <c r="L366" t="str">
        <f t="shared" ca="1" si="36"/>
        <v/>
      </c>
    </row>
    <row r="367" spans="6:12" x14ac:dyDescent="0.2">
      <c r="F367">
        <v>365</v>
      </c>
      <c r="G367" s="3" t="str">
        <f t="shared" ca="1" si="31"/>
        <v/>
      </c>
      <c r="H367" s="3" t="str">
        <f t="shared" ca="1" si="32"/>
        <v/>
      </c>
      <c r="I367" t="str">
        <f t="shared" ca="1" si="33"/>
        <v/>
      </c>
      <c r="J367" t="str">
        <f t="shared" ca="1" si="34"/>
        <v/>
      </c>
      <c r="K367" t="str">
        <f t="shared" ca="1" si="35"/>
        <v/>
      </c>
      <c r="L367" t="str">
        <f t="shared" ca="1" si="36"/>
        <v/>
      </c>
    </row>
    <row r="368" spans="6:12" x14ac:dyDescent="0.2">
      <c r="F368">
        <v>366</v>
      </c>
      <c r="G368" s="3" t="str">
        <f t="shared" ca="1" si="31"/>
        <v/>
      </c>
      <c r="H368" s="3" t="str">
        <f t="shared" ca="1" si="32"/>
        <v/>
      </c>
      <c r="I368" t="str">
        <f t="shared" ca="1" si="33"/>
        <v/>
      </c>
      <c r="J368" t="str">
        <f t="shared" ca="1" si="34"/>
        <v/>
      </c>
      <c r="K368" t="str">
        <f t="shared" ca="1" si="35"/>
        <v/>
      </c>
      <c r="L368" t="str">
        <f t="shared" ca="1" si="36"/>
        <v/>
      </c>
    </row>
    <row r="369" spans="6:12" x14ac:dyDescent="0.2">
      <c r="F369">
        <v>367</v>
      </c>
      <c r="G369" s="3" t="str">
        <f t="shared" ca="1" si="31"/>
        <v/>
      </c>
      <c r="H369" s="3" t="str">
        <f t="shared" ca="1" si="32"/>
        <v/>
      </c>
      <c r="I369" t="str">
        <f t="shared" ca="1" si="33"/>
        <v/>
      </c>
      <c r="J369" t="str">
        <f t="shared" ca="1" si="34"/>
        <v/>
      </c>
      <c r="K369" t="str">
        <f t="shared" ca="1" si="35"/>
        <v/>
      </c>
      <c r="L369" t="str">
        <f t="shared" ca="1" si="36"/>
        <v/>
      </c>
    </row>
    <row r="370" spans="6:12" x14ac:dyDescent="0.2">
      <c r="F370">
        <v>368</v>
      </c>
      <c r="G370" s="3" t="str">
        <f t="shared" ca="1" si="31"/>
        <v/>
      </c>
      <c r="H370" s="3" t="str">
        <f t="shared" ca="1" si="32"/>
        <v/>
      </c>
      <c r="I370" t="str">
        <f t="shared" ca="1" si="33"/>
        <v/>
      </c>
      <c r="J370" t="str">
        <f t="shared" ca="1" si="34"/>
        <v/>
      </c>
      <c r="K370" t="str">
        <f t="shared" ca="1" si="35"/>
        <v/>
      </c>
      <c r="L370" t="str">
        <f t="shared" ca="1" si="36"/>
        <v/>
      </c>
    </row>
    <row r="371" spans="6:12" x14ac:dyDescent="0.2">
      <c r="F371">
        <v>369</v>
      </c>
      <c r="G371" s="3" t="str">
        <f t="shared" ca="1" si="31"/>
        <v/>
      </c>
      <c r="H371" s="3" t="str">
        <f t="shared" ca="1" si="32"/>
        <v/>
      </c>
      <c r="I371" t="str">
        <f t="shared" ca="1" si="33"/>
        <v/>
      </c>
      <c r="J371" t="str">
        <f t="shared" ca="1" si="34"/>
        <v/>
      </c>
      <c r="K371" t="str">
        <f t="shared" ca="1" si="35"/>
        <v/>
      </c>
      <c r="L371" t="str">
        <f t="shared" ca="1" si="36"/>
        <v/>
      </c>
    </row>
    <row r="372" spans="6:12" x14ac:dyDescent="0.2">
      <c r="F372">
        <v>370</v>
      </c>
      <c r="G372" s="3" t="str">
        <f t="shared" ca="1" si="31"/>
        <v/>
      </c>
      <c r="H372" s="3" t="str">
        <f t="shared" ca="1" si="32"/>
        <v/>
      </c>
      <c r="I372" t="str">
        <f t="shared" ca="1" si="33"/>
        <v/>
      </c>
      <c r="J372" t="str">
        <f t="shared" ca="1" si="34"/>
        <v/>
      </c>
      <c r="K372" t="str">
        <f t="shared" ca="1" si="35"/>
        <v/>
      </c>
      <c r="L372" t="str">
        <f t="shared" ca="1" si="36"/>
        <v/>
      </c>
    </row>
    <row r="373" spans="6:12" x14ac:dyDescent="0.2">
      <c r="F373">
        <v>371</v>
      </c>
      <c r="G373" s="3" t="str">
        <f t="shared" ca="1" si="31"/>
        <v/>
      </c>
      <c r="H373" s="3" t="str">
        <f t="shared" ca="1" si="32"/>
        <v/>
      </c>
      <c r="I373" t="str">
        <f t="shared" ca="1" si="33"/>
        <v/>
      </c>
      <c r="J373" t="str">
        <f t="shared" ca="1" si="34"/>
        <v/>
      </c>
      <c r="K373" t="str">
        <f t="shared" ca="1" si="35"/>
        <v/>
      </c>
      <c r="L373" t="str">
        <f t="shared" ca="1" si="36"/>
        <v/>
      </c>
    </row>
    <row r="374" spans="6:12" x14ac:dyDescent="0.2">
      <c r="F374">
        <v>372</v>
      </c>
      <c r="G374" s="3" t="str">
        <f t="shared" ca="1" si="31"/>
        <v/>
      </c>
      <c r="H374" s="3" t="str">
        <f t="shared" ca="1" si="32"/>
        <v/>
      </c>
      <c r="I374" t="str">
        <f t="shared" ca="1" si="33"/>
        <v/>
      </c>
      <c r="J374" t="str">
        <f t="shared" ca="1" si="34"/>
        <v/>
      </c>
      <c r="K374" t="str">
        <f t="shared" ca="1" si="35"/>
        <v/>
      </c>
      <c r="L374" t="str">
        <f t="shared" ca="1" si="36"/>
        <v/>
      </c>
    </row>
    <row r="375" spans="6:12" x14ac:dyDescent="0.2">
      <c r="F375">
        <v>373</v>
      </c>
      <c r="G375" s="3" t="str">
        <f t="shared" ca="1" si="31"/>
        <v/>
      </c>
      <c r="H375" s="3" t="str">
        <f t="shared" ca="1" si="32"/>
        <v/>
      </c>
      <c r="I375" t="str">
        <f t="shared" ca="1" si="33"/>
        <v/>
      </c>
      <c r="J375" t="str">
        <f t="shared" ca="1" si="34"/>
        <v/>
      </c>
      <c r="K375" t="str">
        <f t="shared" ca="1" si="35"/>
        <v/>
      </c>
      <c r="L375" t="str">
        <f t="shared" ca="1" si="36"/>
        <v/>
      </c>
    </row>
    <row r="376" spans="6:12" x14ac:dyDescent="0.2">
      <c r="F376">
        <v>374</v>
      </c>
      <c r="G376" s="3" t="str">
        <f t="shared" ca="1" si="31"/>
        <v/>
      </c>
      <c r="H376" s="3" t="str">
        <f t="shared" ca="1" si="32"/>
        <v/>
      </c>
      <c r="I376" t="str">
        <f t="shared" ca="1" si="33"/>
        <v/>
      </c>
      <c r="J376" t="str">
        <f t="shared" ca="1" si="34"/>
        <v/>
      </c>
      <c r="K376" t="str">
        <f t="shared" ca="1" si="35"/>
        <v/>
      </c>
      <c r="L376" t="str">
        <f t="shared" ca="1" si="36"/>
        <v/>
      </c>
    </row>
    <row r="377" spans="6:12" x14ac:dyDescent="0.2">
      <c r="F377">
        <v>375</v>
      </c>
      <c r="G377" s="3" t="str">
        <f t="shared" ca="1" si="31"/>
        <v/>
      </c>
      <c r="H377" s="3" t="str">
        <f t="shared" ca="1" si="32"/>
        <v/>
      </c>
      <c r="I377" t="str">
        <f t="shared" ca="1" si="33"/>
        <v/>
      </c>
      <c r="J377" t="str">
        <f t="shared" ca="1" si="34"/>
        <v/>
      </c>
      <c r="K377" t="str">
        <f t="shared" ca="1" si="35"/>
        <v/>
      </c>
      <c r="L377" t="str">
        <f t="shared" ca="1" si="36"/>
        <v/>
      </c>
    </row>
    <row r="378" spans="6:12" x14ac:dyDescent="0.2">
      <c r="F378">
        <v>376</v>
      </c>
      <c r="G378" s="3" t="str">
        <f t="shared" ca="1" si="31"/>
        <v/>
      </c>
      <c r="H378" s="3" t="str">
        <f t="shared" ca="1" si="32"/>
        <v/>
      </c>
      <c r="I378" t="str">
        <f t="shared" ca="1" si="33"/>
        <v/>
      </c>
      <c r="J378" t="str">
        <f t="shared" ca="1" si="34"/>
        <v/>
      </c>
      <c r="K378" t="str">
        <f t="shared" ca="1" si="35"/>
        <v/>
      </c>
      <c r="L378" t="str">
        <f t="shared" ca="1" si="36"/>
        <v/>
      </c>
    </row>
    <row r="379" spans="6:12" x14ac:dyDescent="0.2">
      <c r="F379">
        <v>377</v>
      </c>
      <c r="G379" s="3" t="str">
        <f t="shared" ca="1" si="31"/>
        <v/>
      </c>
      <c r="H379" s="3" t="str">
        <f t="shared" ca="1" si="32"/>
        <v/>
      </c>
      <c r="I379" t="str">
        <f t="shared" ca="1" si="33"/>
        <v/>
      </c>
      <c r="J379" t="str">
        <f t="shared" ca="1" si="34"/>
        <v/>
      </c>
      <c r="K379" t="str">
        <f t="shared" ca="1" si="35"/>
        <v/>
      </c>
      <c r="L379" t="str">
        <f t="shared" ca="1" si="36"/>
        <v/>
      </c>
    </row>
    <row r="380" spans="6:12" x14ac:dyDescent="0.2">
      <c r="F380">
        <v>378</v>
      </c>
      <c r="G380" s="3" t="str">
        <f t="shared" ca="1" si="31"/>
        <v/>
      </c>
      <c r="H380" s="3" t="str">
        <f t="shared" ca="1" si="32"/>
        <v/>
      </c>
      <c r="I380" t="str">
        <f t="shared" ca="1" si="33"/>
        <v/>
      </c>
      <c r="J380" t="str">
        <f t="shared" ca="1" si="34"/>
        <v/>
      </c>
      <c r="K380" t="str">
        <f t="shared" ca="1" si="35"/>
        <v/>
      </c>
      <c r="L380" t="str">
        <f t="shared" ca="1" si="36"/>
        <v/>
      </c>
    </row>
    <row r="381" spans="6:12" x14ac:dyDescent="0.2">
      <c r="F381">
        <v>379</v>
      </c>
      <c r="G381" s="3" t="str">
        <f t="shared" ca="1" si="31"/>
        <v/>
      </c>
      <c r="H381" s="3" t="str">
        <f t="shared" ca="1" si="32"/>
        <v/>
      </c>
      <c r="I381" t="str">
        <f t="shared" ca="1" si="33"/>
        <v/>
      </c>
      <c r="J381" t="str">
        <f t="shared" ca="1" si="34"/>
        <v/>
      </c>
      <c r="K381" t="str">
        <f t="shared" ca="1" si="35"/>
        <v/>
      </c>
      <c r="L381" t="str">
        <f t="shared" ca="1" si="36"/>
        <v/>
      </c>
    </row>
    <row r="382" spans="6:12" x14ac:dyDescent="0.2">
      <c r="F382">
        <v>380</v>
      </c>
      <c r="G382" s="3" t="str">
        <f t="shared" ca="1" si="31"/>
        <v/>
      </c>
      <c r="H382" s="3" t="str">
        <f t="shared" ca="1" si="32"/>
        <v/>
      </c>
      <c r="I382" t="str">
        <f t="shared" ca="1" si="33"/>
        <v/>
      </c>
      <c r="J382" t="str">
        <f t="shared" ca="1" si="34"/>
        <v/>
      </c>
      <c r="K382" t="str">
        <f t="shared" ca="1" si="35"/>
        <v/>
      </c>
      <c r="L382" t="str">
        <f t="shared" ca="1" si="36"/>
        <v/>
      </c>
    </row>
    <row r="383" spans="6:12" x14ac:dyDescent="0.2">
      <c r="F383">
        <v>381</v>
      </c>
      <c r="G383" s="3" t="str">
        <f t="shared" ca="1" si="31"/>
        <v/>
      </c>
      <c r="H383" s="3" t="str">
        <f t="shared" ca="1" si="32"/>
        <v/>
      </c>
      <c r="I383" t="str">
        <f t="shared" ca="1" si="33"/>
        <v/>
      </c>
      <c r="J383" t="str">
        <f t="shared" ca="1" si="34"/>
        <v/>
      </c>
      <c r="K383" t="str">
        <f t="shared" ca="1" si="35"/>
        <v/>
      </c>
      <c r="L383" t="str">
        <f t="shared" ca="1" si="36"/>
        <v/>
      </c>
    </row>
    <row r="384" spans="6:12" x14ac:dyDescent="0.2">
      <c r="F384">
        <v>382</v>
      </c>
      <c r="G384" s="3" t="str">
        <f t="shared" ca="1" si="31"/>
        <v/>
      </c>
      <c r="H384" s="3" t="str">
        <f t="shared" ca="1" si="32"/>
        <v/>
      </c>
      <c r="I384" t="str">
        <f t="shared" ca="1" si="33"/>
        <v/>
      </c>
      <c r="J384" t="str">
        <f t="shared" ca="1" si="34"/>
        <v/>
      </c>
      <c r="K384" t="str">
        <f t="shared" ca="1" si="35"/>
        <v/>
      </c>
      <c r="L384" t="str">
        <f t="shared" ca="1" si="36"/>
        <v/>
      </c>
    </row>
    <row r="385" spans="6:12" x14ac:dyDescent="0.2">
      <c r="F385">
        <v>383</v>
      </c>
      <c r="G385" s="3" t="str">
        <f t="shared" ca="1" si="31"/>
        <v/>
      </c>
      <c r="H385" s="3" t="str">
        <f t="shared" ca="1" si="32"/>
        <v/>
      </c>
      <c r="I385" t="str">
        <f t="shared" ca="1" si="33"/>
        <v/>
      </c>
      <c r="J385" t="str">
        <f t="shared" ca="1" si="34"/>
        <v/>
      </c>
      <c r="K385" t="str">
        <f t="shared" ca="1" si="35"/>
        <v/>
      </c>
      <c r="L385" t="str">
        <f t="shared" ca="1" si="36"/>
        <v/>
      </c>
    </row>
    <row r="386" spans="6:12" x14ac:dyDescent="0.2">
      <c r="F386">
        <v>384</v>
      </c>
      <c r="G386" s="3" t="str">
        <f t="shared" ca="1" si="31"/>
        <v/>
      </c>
      <c r="H386" s="3" t="str">
        <f t="shared" ca="1" si="32"/>
        <v/>
      </c>
      <c r="I386" t="str">
        <f t="shared" ca="1" si="33"/>
        <v/>
      </c>
      <c r="J386" t="str">
        <f t="shared" ca="1" si="34"/>
        <v/>
      </c>
      <c r="K386" t="str">
        <f t="shared" ca="1" si="35"/>
        <v/>
      </c>
      <c r="L386" t="str">
        <f t="shared" ca="1" si="36"/>
        <v/>
      </c>
    </row>
    <row r="387" spans="6:12" x14ac:dyDescent="0.2">
      <c r="F387">
        <v>385</v>
      </c>
      <c r="G387" s="3" t="str">
        <f t="shared" ref="G387:G450" ca="1" si="37">IF(OR($F387&gt;N,G$2&gt;N_LISTS),"",QUOTIENT($F387-(QUOTIENT($F387,N)*N),N_1)
+IF(MOD($F387-(QUOTIENT($F387,N)*N),N_1)=0,0,1)
+IF(MOD($F387,N)=0,C_L1,0))</f>
        <v/>
      </c>
      <c r="H387" s="3" t="str">
        <f t="shared" ref="H387:H450" ca="1" si="38">IF(OR($F387&gt;N,H$2&gt;N_LISTS),"",QUOTIENT($F387-(QUOTIENT($F387,N_1)*N_1),N_2)
+IF(MOD($F387-(QUOTIENT($F387,N_1)*N_1),N_2)=0,0,1)
+IF(MOD($F387,N_1)=0,C_L2,0))</f>
        <v/>
      </c>
      <c r="I387" t="str">
        <f t="shared" ref="I387:I450" ca="1" si="39">IF(OR($F387&gt;N,I$2&gt;N_LISTS),"",QUOTIENT($F387-(QUOTIENT($F387,N_2)*N_2),N_3)
+IF(MOD($F387-(QUOTIENT($F387,N_2)*N_2),N_3)=0,0,1)
+IF(MOD($F387,N_2)=0,C_L3,0))</f>
        <v/>
      </c>
      <c r="J387" t="str">
        <f t="shared" ref="J387:J450" ca="1" si="40">IF(OR($F387&gt;N,J$2&gt;N_LISTS),"",QUOTIENT($F387-(QUOTIENT($F387,N_3)*N_3),N_4)
+IF(MOD($F387-(QUOTIENT($F387,N_3)*N_3),N_4)=0,0,1)
+IF(MOD($F387,N_3)=0,C_L4,0))</f>
        <v/>
      </c>
      <c r="K387" t="str">
        <f t="shared" ref="K387:K450" ca="1" si="41">IF(OR($F387&gt;N,K$2&gt;N_LISTS),"",QUOTIENT($F387-(QUOTIENT($F387,N_4)*N_4),N_5)
+IF(MOD($F387-(QUOTIENT($F387,N_4)*N_4),N_5)=0,0,1)
+IF(MOD($F387,N_4)=0,C_L5,0))</f>
        <v/>
      </c>
      <c r="L387" t="str">
        <f t="shared" ref="L387:L450" ca="1" si="42">IF(OR($F387&gt;N,L$2&gt;N_LISTS),"",QUOTIENT($F387-(QUOTIENT($F387,N_5)*N_5),1)
+IF(MOD($F387-(QUOTIENT($F387,N_5)*N_5),1)=0,0,1)
+IF(MOD($F387,N_5)=0,C_L6,0))</f>
        <v/>
      </c>
    </row>
    <row r="388" spans="6:12" x14ac:dyDescent="0.2">
      <c r="F388">
        <v>386</v>
      </c>
      <c r="G388" s="3" t="str">
        <f t="shared" ca="1" si="37"/>
        <v/>
      </c>
      <c r="H388" s="3" t="str">
        <f t="shared" ca="1" si="38"/>
        <v/>
      </c>
      <c r="I388" t="str">
        <f t="shared" ca="1" si="39"/>
        <v/>
      </c>
      <c r="J388" t="str">
        <f t="shared" ca="1" si="40"/>
        <v/>
      </c>
      <c r="K388" t="str">
        <f t="shared" ca="1" si="41"/>
        <v/>
      </c>
      <c r="L388" t="str">
        <f t="shared" ca="1" si="42"/>
        <v/>
      </c>
    </row>
    <row r="389" spans="6:12" x14ac:dyDescent="0.2">
      <c r="F389">
        <v>387</v>
      </c>
      <c r="G389" s="3" t="str">
        <f t="shared" ca="1" si="37"/>
        <v/>
      </c>
      <c r="H389" s="3" t="str">
        <f t="shared" ca="1" si="38"/>
        <v/>
      </c>
      <c r="I389" t="str">
        <f t="shared" ca="1" si="39"/>
        <v/>
      </c>
      <c r="J389" t="str">
        <f t="shared" ca="1" si="40"/>
        <v/>
      </c>
      <c r="K389" t="str">
        <f t="shared" ca="1" si="41"/>
        <v/>
      </c>
      <c r="L389" t="str">
        <f t="shared" ca="1" si="42"/>
        <v/>
      </c>
    </row>
    <row r="390" spans="6:12" x14ac:dyDescent="0.2">
      <c r="F390">
        <v>388</v>
      </c>
      <c r="G390" s="3" t="str">
        <f t="shared" ca="1" si="37"/>
        <v/>
      </c>
      <c r="H390" s="3" t="str">
        <f t="shared" ca="1" si="38"/>
        <v/>
      </c>
      <c r="I390" t="str">
        <f t="shared" ca="1" si="39"/>
        <v/>
      </c>
      <c r="J390" t="str">
        <f t="shared" ca="1" si="40"/>
        <v/>
      </c>
      <c r="K390" t="str">
        <f t="shared" ca="1" si="41"/>
        <v/>
      </c>
      <c r="L390" t="str">
        <f t="shared" ca="1" si="42"/>
        <v/>
      </c>
    </row>
    <row r="391" spans="6:12" x14ac:dyDescent="0.2">
      <c r="F391">
        <v>389</v>
      </c>
      <c r="G391" s="3" t="str">
        <f t="shared" ca="1" si="37"/>
        <v/>
      </c>
      <c r="H391" s="3" t="str">
        <f t="shared" ca="1" si="38"/>
        <v/>
      </c>
      <c r="I391" t="str">
        <f t="shared" ca="1" si="39"/>
        <v/>
      </c>
      <c r="J391" t="str">
        <f t="shared" ca="1" si="40"/>
        <v/>
      </c>
      <c r="K391" t="str">
        <f t="shared" ca="1" si="41"/>
        <v/>
      </c>
      <c r="L391" t="str">
        <f t="shared" ca="1" si="42"/>
        <v/>
      </c>
    </row>
    <row r="392" spans="6:12" x14ac:dyDescent="0.2">
      <c r="F392">
        <v>390</v>
      </c>
      <c r="G392" s="3" t="str">
        <f t="shared" ca="1" si="37"/>
        <v/>
      </c>
      <c r="H392" s="3" t="str">
        <f t="shared" ca="1" si="38"/>
        <v/>
      </c>
      <c r="I392" t="str">
        <f t="shared" ca="1" si="39"/>
        <v/>
      </c>
      <c r="J392" t="str">
        <f t="shared" ca="1" si="40"/>
        <v/>
      </c>
      <c r="K392" t="str">
        <f t="shared" ca="1" si="41"/>
        <v/>
      </c>
      <c r="L392" t="str">
        <f t="shared" ca="1" si="42"/>
        <v/>
      </c>
    </row>
    <row r="393" spans="6:12" x14ac:dyDescent="0.2">
      <c r="F393">
        <v>391</v>
      </c>
      <c r="G393" s="3" t="str">
        <f t="shared" ca="1" si="37"/>
        <v/>
      </c>
      <c r="H393" s="3" t="str">
        <f t="shared" ca="1" si="38"/>
        <v/>
      </c>
      <c r="I393" t="str">
        <f t="shared" ca="1" si="39"/>
        <v/>
      </c>
      <c r="J393" t="str">
        <f t="shared" ca="1" si="40"/>
        <v/>
      </c>
      <c r="K393" t="str">
        <f t="shared" ca="1" si="41"/>
        <v/>
      </c>
      <c r="L393" t="str">
        <f t="shared" ca="1" si="42"/>
        <v/>
      </c>
    </row>
    <row r="394" spans="6:12" x14ac:dyDescent="0.2">
      <c r="F394">
        <v>392</v>
      </c>
      <c r="G394" s="3" t="str">
        <f t="shared" ca="1" si="37"/>
        <v/>
      </c>
      <c r="H394" s="3" t="str">
        <f t="shared" ca="1" si="38"/>
        <v/>
      </c>
      <c r="I394" t="str">
        <f t="shared" ca="1" si="39"/>
        <v/>
      </c>
      <c r="J394" t="str">
        <f t="shared" ca="1" si="40"/>
        <v/>
      </c>
      <c r="K394" t="str">
        <f t="shared" ca="1" si="41"/>
        <v/>
      </c>
      <c r="L394" t="str">
        <f t="shared" ca="1" si="42"/>
        <v/>
      </c>
    </row>
    <row r="395" spans="6:12" x14ac:dyDescent="0.2">
      <c r="F395">
        <v>393</v>
      </c>
      <c r="G395" s="3" t="str">
        <f t="shared" ca="1" si="37"/>
        <v/>
      </c>
      <c r="H395" s="3" t="str">
        <f t="shared" ca="1" si="38"/>
        <v/>
      </c>
      <c r="I395" t="str">
        <f t="shared" ca="1" si="39"/>
        <v/>
      </c>
      <c r="J395" t="str">
        <f t="shared" ca="1" si="40"/>
        <v/>
      </c>
      <c r="K395" t="str">
        <f t="shared" ca="1" si="41"/>
        <v/>
      </c>
      <c r="L395" t="str">
        <f t="shared" ca="1" si="42"/>
        <v/>
      </c>
    </row>
    <row r="396" spans="6:12" x14ac:dyDescent="0.2">
      <c r="F396">
        <v>394</v>
      </c>
      <c r="G396" s="3" t="str">
        <f t="shared" ca="1" si="37"/>
        <v/>
      </c>
      <c r="H396" s="3" t="str">
        <f t="shared" ca="1" si="38"/>
        <v/>
      </c>
      <c r="I396" t="str">
        <f t="shared" ca="1" si="39"/>
        <v/>
      </c>
      <c r="J396" t="str">
        <f t="shared" ca="1" si="40"/>
        <v/>
      </c>
      <c r="K396" t="str">
        <f t="shared" ca="1" si="41"/>
        <v/>
      </c>
      <c r="L396" t="str">
        <f t="shared" ca="1" si="42"/>
        <v/>
      </c>
    </row>
    <row r="397" spans="6:12" x14ac:dyDescent="0.2">
      <c r="F397">
        <v>395</v>
      </c>
      <c r="G397" s="3" t="str">
        <f t="shared" ca="1" si="37"/>
        <v/>
      </c>
      <c r="H397" s="3" t="str">
        <f t="shared" ca="1" si="38"/>
        <v/>
      </c>
      <c r="I397" t="str">
        <f t="shared" ca="1" si="39"/>
        <v/>
      </c>
      <c r="J397" t="str">
        <f t="shared" ca="1" si="40"/>
        <v/>
      </c>
      <c r="K397" t="str">
        <f t="shared" ca="1" si="41"/>
        <v/>
      </c>
      <c r="L397" t="str">
        <f t="shared" ca="1" si="42"/>
        <v/>
      </c>
    </row>
    <row r="398" spans="6:12" x14ac:dyDescent="0.2">
      <c r="F398">
        <v>396</v>
      </c>
      <c r="G398" s="3" t="str">
        <f t="shared" ca="1" si="37"/>
        <v/>
      </c>
      <c r="H398" s="3" t="str">
        <f t="shared" ca="1" si="38"/>
        <v/>
      </c>
      <c r="I398" t="str">
        <f t="shared" ca="1" si="39"/>
        <v/>
      </c>
      <c r="J398" t="str">
        <f t="shared" ca="1" si="40"/>
        <v/>
      </c>
      <c r="K398" t="str">
        <f t="shared" ca="1" si="41"/>
        <v/>
      </c>
      <c r="L398" t="str">
        <f t="shared" ca="1" si="42"/>
        <v/>
      </c>
    </row>
    <row r="399" spans="6:12" x14ac:dyDescent="0.2">
      <c r="F399">
        <v>397</v>
      </c>
      <c r="G399" s="3" t="str">
        <f t="shared" ca="1" si="37"/>
        <v/>
      </c>
      <c r="H399" s="3" t="str">
        <f t="shared" ca="1" si="38"/>
        <v/>
      </c>
      <c r="I399" t="str">
        <f t="shared" ca="1" si="39"/>
        <v/>
      </c>
      <c r="J399" t="str">
        <f t="shared" ca="1" si="40"/>
        <v/>
      </c>
      <c r="K399" t="str">
        <f t="shared" ca="1" si="41"/>
        <v/>
      </c>
      <c r="L399" t="str">
        <f t="shared" ca="1" si="42"/>
        <v/>
      </c>
    </row>
    <row r="400" spans="6:12" x14ac:dyDescent="0.2">
      <c r="F400">
        <v>398</v>
      </c>
      <c r="G400" s="3" t="str">
        <f t="shared" ca="1" si="37"/>
        <v/>
      </c>
      <c r="H400" s="3" t="str">
        <f t="shared" ca="1" si="38"/>
        <v/>
      </c>
      <c r="I400" t="str">
        <f t="shared" ca="1" si="39"/>
        <v/>
      </c>
      <c r="J400" t="str">
        <f t="shared" ca="1" si="40"/>
        <v/>
      </c>
      <c r="K400" t="str">
        <f t="shared" ca="1" si="41"/>
        <v/>
      </c>
      <c r="L400" t="str">
        <f t="shared" ca="1" si="42"/>
        <v/>
      </c>
    </row>
    <row r="401" spans="6:12" x14ac:dyDescent="0.2">
      <c r="F401">
        <v>399</v>
      </c>
      <c r="G401" s="3" t="str">
        <f t="shared" ca="1" si="37"/>
        <v/>
      </c>
      <c r="H401" s="3" t="str">
        <f t="shared" ca="1" si="38"/>
        <v/>
      </c>
      <c r="I401" t="str">
        <f t="shared" ca="1" si="39"/>
        <v/>
      </c>
      <c r="J401" t="str">
        <f t="shared" ca="1" si="40"/>
        <v/>
      </c>
      <c r="K401" t="str">
        <f t="shared" ca="1" si="41"/>
        <v/>
      </c>
      <c r="L401" t="str">
        <f t="shared" ca="1" si="42"/>
        <v/>
      </c>
    </row>
    <row r="402" spans="6:12" x14ac:dyDescent="0.2">
      <c r="F402">
        <v>400</v>
      </c>
      <c r="G402" s="3" t="str">
        <f t="shared" ca="1" si="37"/>
        <v/>
      </c>
      <c r="H402" s="3" t="str">
        <f t="shared" ca="1" si="38"/>
        <v/>
      </c>
      <c r="I402" t="str">
        <f t="shared" ca="1" si="39"/>
        <v/>
      </c>
      <c r="J402" t="str">
        <f t="shared" ca="1" si="40"/>
        <v/>
      </c>
      <c r="K402" t="str">
        <f t="shared" ca="1" si="41"/>
        <v/>
      </c>
      <c r="L402" t="str">
        <f t="shared" ca="1" si="42"/>
        <v/>
      </c>
    </row>
    <row r="403" spans="6:12" x14ac:dyDescent="0.2">
      <c r="F403">
        <v>401</v>
      </c>
      <c r="G403" s="3" t="str">
        <f t="shared" ca="1" si="37"/>
        <v/>
      </c>
      <c r="H403" s="3" t="str">
        <f t="shared" ca="1" si="38"/>
        <v/>
      </c>
      <c r="I403" t="str">
        <f t="shared" ca="1" si="39"/>
        <v/>
      </c>
      <c r="J403" t="str">
        <f t="shared" ca="1" si="40"/>
        <v/>
      </c>
      <c r="K403" t="str">
        <f t="shared" ca="1" si="41"/>
        <v/>
      </c>
      <c r="L403" t="str">
        <f t="shared" ca="1" si="42"/>
        <v/>
      </c>
    </row>
    <row r="404" spans="6:12" x14ac:dyDescent="0.2">
      <c r="F404">
        <v>402</v>
      </c>
      <c r="G404" s="3" t="str">
        <f t="shared" ca="1" si="37"/>
        <v/>
      </c>
      <c r="H404" s="3" t="str">
        <f t="shared" ca="1" si="38"/>
        <v/>
      </c>
      <c r="I404" t="str">
        <f t="shared" ca="1" si="39"/>
        <v/>
      </c>
      <c r="J404" t="str">
        <f t="shared" ca="1" si="40"/>
        <v/>
      </c>
      <c r="K404" t="str">
        <f t="shared" ca="1" si="41"/>
        <v/>
      </c>
      <c r="L404" t="str">
        <f t="shared" ca="1" si="42"/>
        <v/>
      </c>
    </row>
    <row r="405" spans="6:12" x14ac:dyDescent="0.2">
      <c r="F405">
        <v>403</v>
      </c>
      <c r="G405" s="3" t="str">
        <f t="shared" ca="1" si="37"/>
        <v/>
      </c>
      <c r="H405" s="3" t="str">
        <f t="shared" ca="1" si="38"/>
        <v/>
      </c>
      <c r="I405" t="str">
        <f t="shared" ca="1" si="39"/>
        <v/>
      </c>
      <c r="J405" t="str">
        <f t="shared" ca="1" si="40"/>
        <v/>
      </c>
      <c r="K405" t="str">
        <f t="shared" ca="1" si="41"/>
        <v/>
      </c>
      <c r="L405" t="str">
        <f t="shared" ca="1" si="42"/>
        <v/>
      </c>
    </row>
    <row r="406" spans="6:12" x14ac:dyDescent="0.2">
      <c r="F406">
        <v>404</v>
      </c>
      <c r="G406" s="3" t="str">
        <f t="shared" ca="1" si="37"/>
        <v/>
      </c>
      <c r="H406" s="3" t="str">
        <f t="shared" ca="1" si="38"/>
        <v/>
      </c>
      <c r="I406" t="str">
        <f t="shared" ca="1" si="39"/>
        <v/>
      </c>
      <c r="J406" t="str">
        <f t="shared" ca="1" si="40"/>
        <v/>
      </c>
      <c r="K406" t="str">
        <f t="shared" ca="1" si="41"/>
        <v/>
      </c>
      <c r="L406" t="str">
        <f t="shared" ca="1" si="42"/>
        <v/>
      </c>
    </row>
    <row r="407" spans="6:12" x14ac:dyDescent="0.2">
      <c r="F407">
        <v>405</v>
      </c>
      <c r="G407" s="3" t="str">
        <f t="shared" ca="1" si="37"/>
        <v/>
      </c>
      <c r="H407" s="3" t="str">
        <f t="shared" ca="1" si="38"/>
        <v/>
      </c>
      <c r="I407" t="str">
        <f t="shared" ca="1" si="39"/>
        <v/>
      </c>
      <c r="J407" t="str">
        <f t="shared" ca="1" si="40"/>
        <v/>
      </c>
      <c r="K407" t="str">
        <f t="shared" ca="1" si="41"/>
        <v/>
      </c>
      <c r="L407" t="str">
        <f t="shared" ca="1" si="42"/>
        <v/>
      </c>
    </row>
    <row r="408" spans="6:12" x14ac:dyDescent="0.2">
      <c r="F408">
        <v>406</v>
      </c>
      <c r="G408" s="3" t="str">
        <f t="shared" ca="1" si="37"/>
        <v/>
      </c>
      <c r="H408" s="3" t="str">
        <f t="shared" ca="1" si="38"/>
        <v/>
      </c>
      <c r="I408" t="str">
        <f t="shared" ca="1" si="39"/>
        <v/>
      </c>
      <c r="J408" t="str">
        <f t="shared" ca="1" si="40"/>
        <v/>
      </c>
      <c r="K408" t="str">
        <f t="shared" ca="1" si="41"/>
        <v/>
      </c>
      <c r="L408" t="str">
        <f t="shared" ca="1" si="42"/>
        <v/>
      </c>
    </row>
    <row r="409" spans="6:12" x14ac:dyDescent="0.2">
      <c r="F409">
        <v>407</v>
      </c>
      <c r="G409" s="3" t="str">
        <f t="shared" ca="1" si="37"/>
        <v/>
      </c>
      <c r="H409" s="3" t="str">
        <f t="shared" ca="1" si="38"/>
        <v/>
      </c>
      <c r="I409" t="str">
        <f t="shared" ca="1" si="39"/>
        <v/>
      </c>
      <c r="J409" t="str">
        <f t="shared" ca="1" si="40"/>
        <v/>
      </c>
      <c r="K409" t="str">
        <f t="shared" ca="1" si="41"/>
        <v/>
      </c>
      <c r="L409" t="str">
        <f t="shared" ca="1" si="42"/>
        <v/>
      </c>
    </row>
    <row r="410" spans="6:12" x14ac:dyDescent="0.2">
      <c r="F410">
        <v>408</v>
      </c>
      <c r="G410" s="3" t="str">
        <f t="shared" ca="1" si="37"/>
        <v/>
      </c>
      <c r="H410" s="3" t="str">
        <f t="shared" ca="1" si="38"/>
        <v/>
      </c>
      <c r="I410" t="str">
        <f t="shared" ca="1" si="39"/>
        <v/>
      </c>
      <c r="J410" t="str">
        <f t="shared" ca="1" si="40"/>
        <v/>
      </c>
      <c r="K410" t="str">
        <f t="shared" ca="1" si="41"/>
        <v/>
      </c>
      <c r="L410" t="str">
        <f t="shared" ca="1" si="42"/>
        <v/>
      </c>
    </row>
    <row r="411" spans="6:12" x14ac:dyDescent="0.2">
      <c r="F411">
        <v>409</v>
      </c>
      <c r="G411" s="3" t="str">
        <f t="shared" ca="1" si="37"/>
        <v/>
      </c>
      <c r="H411" s="3" t="str">
        <f t="shared" ca="1" si="38"/>
        <v/>
      </c>
      <c r="I411" t="str">
        <f t="shared" ca="1" si="39"/>
        <v/>
      </c>
      <c r="J411" t="str">
        <f t="shared" ca="1" si="40"/>
        <v/>
      </c>
      <c r="K411" t="str">
        <f t="shared" ca="1" si="41"/>
        <v/>
      </c>
      <c r="L411" t="str">
        <f t="shared" ca="1" si="42"/>
        <v/>
      </c>
    </row>
    <row r="412" spans="6:12" x14ac:dyDescent="0.2">
      <c r="F412">
        <v>410</v>
      </c>
      <c r="G412" s="3" t="str">
        <f t="shared" ca="1" si="37"/>
        <v/>
      </c>
      <c r="H412" s="3" t="str">
        <f t="shared" ca="1" si="38"/>
        <v/>
      </c>
      <c r="I412" t="str">
        <f t="shared" ca="1" si="39"/>
        <v/>
      </c>
      <c r="J412" t="str">
        <f t="shared" ca="1" si="40"/>
        <v/>
      </c>
      <c r="K412" t="str">
        <f t="shared" ca="1" si="41"/>
        <v/>
      </c>
      <c r="L412" t="str">
        <f t="shared" ca="1" si="42"/>
        <v/>
      </c>
    </row>
    <row r="413" spans="6:12" x14ac:dyDescent="0.2">
      <c r="F413">
        <v>411</v>
      </c>
      <c r="G413" s="3" t="str">
        <f t="shared" ca="1" si="37"/>
        <v/>
      </c>
      <c r="H413" s="3" t="str">
        <f t="shared" ca="1" si="38"/>
        <v/>
      </c>
      <c r="I413" t="str">
        <f t="shared" ca="1" si="39"/>
        <v/>
      </c>
      <c r="J413" t="str">
        <f t="shared" ca="1" si="40"/>
        <v/>
      </c>
      <c r="K413" t="str">
        <f t="shared" ca="1" si="41"/>
        <v/>
      </c>
      <c r="L413" t="str">
        <f t="shared" ca="1" si="42"/>
        <v/>
      </c>
    </row>
    <row r="414" spans="6:12" x14ac:dyDescent="0.2">
      <c r="F414">
        <v>412</v>
      </c>
      <c r="G414" s="3" t="str">
        <f t="shared" ca="1" si="37"/>
        <v/>
      </c>
      <c r="H414" s="3" t="str">
        <f t="shared" ca="1" si="38"/>
        <v/>
      </c>
      <c r="I414" t="str">
        <f t="shared" ca="1" si="39"/>
        <v/>
      </c>
      <c r="J414" t="str">
        <f t="shared" ca="1" si="40"/>
        <v/>
      </c>
      <c r="K414" t="str">
        <f t="shared" ca="1" si="41"/>
        <v/>
      </c>
      <c r="L414" t="str">
        <f t="shared" ca="1" si="42"/>
        <v/>
      </c>
    </row>
    <row r="415" spans="6:12" x14ac:dyDescent="0.2">
      <c r="F415">
        <v>413</v>
      </c>
      <c r="G415" s="3" t="str">
        <f t="shared" ca="1" si="37"/>
        <v/>
      </c>
      <c r="H415" s="3" t="str">
        <f t="shared" ca="1" si="38"/>
        <v/>
      </c>
      <c r="I415" t="str">
        <f t="shared" ca="1" si="39"/>
        <v/>
      </c>
      <c r="J415" t="str">
        <f t="shared" ca="1" si="40"/>
        <v/>
      </c>
      <c r="K415" t="str">
        <f t="shared" ca="1" si="41"/>
        <v/>
      </c>
      <c r="L415" t="str">
        <f t="shared" ca="1" si="42"/>
        <v/>
      </c>
    </row>
    <row r="416" spans="6:12" x14ac:dyDescent="0.2">
      <c r="F416">
        <v>414</v>
      </c>
      <c r="G416" s="3" t="str">
        <f t="shared" ca="1" si="37"/>
        <v/>
      </c>
      <c r="H416" s="3" t="str">
        <f t="shared" ca="1" si="38"/>
        <v/>
      </c>
      <c r="I416" t="str">
        <f t="shared" ca="1" si="39"/>
        <v/>
      </c>
      <c r="J416" t="str">
        <f t="shared" ca="1" si="40"/>
        <v/>
      </c>
      <c r="K416" t="str">
        <f t="shared" ca="1" si="41"/>
        <v/>
      </c>
      <c r="L416" t="str">
        <f t="shared" ca="1" si="42"/>
        <v/>
      </c>
    </row>
    <row r="417" spans="6:12" x14ac:dyDescent="0.2">
      <c r="F417">
        <v>415</v>
      </c>
      <c r="G417" s="3" t="str">
        <f t="shared" ca="1" si="37"/>
        <v/>
      </c>
      <c r="H417" s="3" t="str">
        <f t="shared" ca="1" si="38"/>
        <v/>
      </c>
      <c r="I417" t="str">
        <f t="shared" ca="1" si="39"/>
        <v/>
      </c>
      <c r="J417" t="str">
        <f t="shared" ca="1" si="40"/>
        <v/>
      </c>
      <c r="K417" t="str">
        <f t="shared" ca="1" si="41"/>
        <v/>
      </c>
      <c r="L417" t="str">
        <f t="shared" ca="1" si="42"/>
        <v/>
      </c>
    </row>
    <row r="418" spans="6:12" x14ac:dyDescent="0.2">
      <c r="F418">
        <v>416</v>
      </c>
      <c r="G418" s="3" t="str">
        <f t="shared" ca="1" si="37"/>
        <v/>
      </c>
      <c r="H418" s="3" t="str">
        <f t="shared" ca="1" si="38"/>
        <v/>
      </c>
      <c r="I418" t="str">
        <f t="shared" ca="1" si="39"/>
        <v/>
      </c>
      <c r="J418" t="str">
        <f t="shared" ca="1" si="40"/>
        <v/>
      </c>
      <c r="K418" t="str">
        <f t="shared" ca="1" si="41"/>
        <v/>
      </c>
      <c r="L418" t="str">
        <f t="shared" ca="1" si="42"/>
        <v/>
      </c>
    </row>
    <row r="419" spans="6:12" x14ac:dyDescent="0.2">
      <c r="F419">
        <v>417</v>
      </c>
      <c r="G419" s="3" t="str">
        <f t="shared" ca="1" si="37"/>
        <v/>
      </c>
      <c r="H419" s="3" t="str">
        <f t="shared" ca="1" si="38"/>
        <v/>
      </c>
      <c r="I419" t="str">
        <f t="shared" ca="1" si="39"/>
        <v/>
      </c>
      <c r="J419" t="str">
        <f t="shared" ca="1" si="40"/>
        <v/>
      </c>
      <c r="K419" t="str">
        <f t="shared" ca="1" si="41"/>
        <v/>
      </c>
      <c r="L419" t="str">
        <f t="shared" ca="1" si="42"/>
        <v/>
      </c>
    </row>
    <row r="420" spans="6:12" x14ac:dyDescent="0.2">
      <c r="F420">
        <v>418</v>
      </c>
      <c r="G420" s="3" t="str">
        <f t="shared" ca="1" si="37"/>
        <v/>
      </c>
      <c r="H420" s="3" t="str">
        <f t="shared" ca="1" si="38"/>
        <v/>
      </c>
      <c r="I420" t="str">
        <f t="shared" ca="1" si="39"/>
        <v/>
      </c>
      <c r="J420" t="str">
        <f t="shared" ca="1" si="40"/>
        <v/>
      </c>
      <c r="K420" t="str">
        <f t="shared" ca="1" si="41"/>
        <v/>
      </c>
      <c r="L420" t="str">
        <f t="shared" ca="1" si="42"/>
        <v/>
      </c>
    </row>
    <row r="421" spans="6:12" x14ac:dyDescent="0.2">
      <c r="F421">
        <v>419</v>
      </c>
      <c r="G421" s="3" t="str">
        <f t="shared" ca="1" si="37"/>
        <v/>
      </c>
      <c r="H421" s="3" t="str">
        <f t="shared" ca="1" si="38"/>
        <v/>
      </c>
      <c r="I421" t="str">
        <f t="shared" ca="1" si="39"/>
        <v/>
      </c>
      <c r="J421" t="str">
        <f t="shared" ca="1" si="40"/>
        <v/>
      </c>
      <c r="K421" t="str">
        <f t="shared" ca="1" si="41"/>
        <v/>
      </c>
      <c r="L421" t="str">
        <f t="shared" ca="1" si="42"/>
        <v/>
      </c>
    </row>
    <row r="422" spans="6:12" x14ac:dyDescent="0.2">
      <c r="F422">
        <v>420</v>
      </c>
      <c r="G422" s="3" t="str">
        <f t="shared" ca="1" si="37"/>
        <v/>
      </c>
      <c r="H422" s="3" t="str">
        <f t="shared" ca="1" si="38"/>
        <v/>
      </c>
      <c r="I422" t="str">
        <f t="shared" ca="1" si="39"/>
        <v/>
      </c>
      <c r="J422" t="str">
        <f t="shared" ca="1" si="40"/>
        <v/>
      </c>
      <c r="K422" t="str">
        <f t="shared" ca="1" si="41"/>
        <v/>
      </c>
      <c r="L422" t="str">
        <f t="shared" ca="1" si="42"/>
        <v/>
      </c>
    </row>
    <row r="423" spans="6:12" x14ac:dyDescent="0.2">
      <c r="F423">
        <v>421</v>
      </c>
      <c r="G423" s="3" t="str">
        <f t="shared" ca="1" si="37"/>
        <v/>
      </c>
      <c r="H423" s="3" t="str">
        <f t="shared" ca="1" si="38"/>
        <v/>
      </c>
      <c r="I423" t="str">
        <f t="shared" ca="1" si="39"/>
        <v/>
      </c>
      <c r="J423" t="str">
        <f t="shared" ca="1" si="40"/>
        <v/>
      </c>
      <c r="K423" t="str">
        <f t="shared" ca="1" si="41"/>
        <v/>
      </c>
      <c r="L423" t="str">
        <f t="shared" ca="1" si="42"/>
        <v/>
      </c>
    </row>
    <row r="424" spans="6:12" x14ac:dyDescent="0.2">
      <c r="F424">
        <v>422</v>
      </c>
      <c r="G424" s="3" t="str">
        <f t="shared" ca="1" si="37"/>
        <v/>
      </c>
      <c r="H424" s="3" t="str">
        <f t="shared" ca="1" si="38"/>
        <v/>
      </c>
      <c r="I424" t="str">
        <f t="shared" ca="1" si="39"/>
        <v/>
      </c>
      <c r="J424" t="str">
        <f t="shared" ca="1" si="40"/>
        <v/>
      </c>
      <c r="K424" t="str">
        <f t="shared" ca="1" si="41"/>
        <v/>
      </c>
      <c r="L424" t="str">
        <f t="shared" ca="1" si="42"/>
        <v/>
      </c>
    </row>
    <row r="425" spans="6:12" x14ac:dyDescent="0.2">
      <c r="F425">
        <v>423</v>
      </c>
      <c r="G425" s="3" t="str">
        <f t="shared" ca="1" si="37"/>
        <v/>
      </c>
      <c r="H425" s="3" t="str">
        <f t="shared" ca="1" si="38"/>
        <v/>
      </c>
      <c r="I425" t="str">
        <f t="shared" ca="1" si="39"/>
        <v/>
      </c>
      <c r="J425" t="str">
        <f t="shared" ca="1" si="40"/>
        <v/>
      </c>
      <c r="K425" t="str">
        <f t="shared" ca="1" si="41"/>
        <v/>
      </c>
      <c r="L425" t="str">
        <f t="shared" ca="1" si="42"/>
        <v/>
      </c>
    </row>
    <row r="426" spans="6:12" x14ac:dyDescent="0.2">
      <c r="F426">
        <v>424</v>
      </c>
      <c r="G426" s="3" t="str">
        <f t="shared" ca="1" si="37"/>
        <v/>
      </c>
      <c r="H426" s="3" t="str">
        <f t="shared" ca="1" si="38"/>
        <v/>
      </c>
      <c r="I426" t="str">
        <f t="shared" ca="1" si="39"/>
        <v/>
      </c>
      <c r="J426" t="str">
        <f t="shared" ca="1" si="40"/>
        <v/>
      </c>
      <c r="K426" t="str">
        <f t="shared" ca="1" si="41"/>
        <v/>
      </c>
      <c r="L426" t="str">
        <f t="shared" ca="1" si="42"/>
        <v/>
      </c>
    </row>
    <row r="427" spans="6:12" x14ac:dyDescent="0.2">
      <c r="F427">
        <v>425</v>
      </c>
      <c r="G427" s="3" t="str">
        <f t="shared" ca="1" si="37"/>
        <v/>
      </c>
      <c r="H427" s="3" t="str">
        <f t="shared" ca="1" si="38"/>
        <v/>
      </c>
      <c r="I427" t="str">
        <f t="shared" ca="1" si="39"/>
        <v/>
      </c>
      <c r="J427" t="str">
        <f t="shared" ca="1" si="40"/>
        <v/>
      </c>
      <c r="K427" t="str">
        <f t="shared" ca="1" si="41"/>
        <v/>
      </c>
      <c r="L427" t="str">
        <f t="shared" ca="1" si="42"/>
        <v/>
      </c>
    </row>
    <row r="428" spans="6:12" x14ac:dyDescent="0.2">
      <c r="F428">
        <v>426</v>
      </c>
      <c r="G428" s="3" t="str">
        <f t="shared" ca="1" si="37"/>
        <v/>
      </c>
      <c r="H428" s="3" t="str">
        <f t="shared" ca="1" si="38"/>
        <v/>
      </c>
      <c r="I428" t="str">
        <f t="shared" ca="1" si="39"/>
        <v/>
      </c>
      <c r="J428" t="str">
        <f t="shared" ca="1" si="40"/>
        <v/>
      </c>
      <c r="K428" t="str">
        <f t="shared" ca="1" si="41"/>
        <v/>
      </c>
      <c r="L428" t="str">
        <f t="shared" ca="1" si="42"/>
        <v/>
      </c>
    </row>
    <row r="429" spans="6:12" x14ac:dyDescent="0.2">
      <c r="F429">
        <v>427</v>
      </c>
      <c r="G429" s="3" t="str">
        <f t="shared" ca="1" si="37"/>
        <v/>
      </c>
      <c r="H429" s="3" t="str">
        <f t="shared" ca="1" si="38"/>
        <v/>
      </c>
      <c r="I429" t="str">
        <f t="shared" ca="1" si="39"/>
        <v/>
      </c>
      <c r="J429" t="str">
        <f t="shared" ca="1" si="40"/>
        <v/>
      </c>
      <c r="K429" t="str">
        <f t="shared" ca="1" si="41"/>
        <v/>
      </c>
      <c r="L429" t="str">
        <f t="shared" ca="1" si="42"/>
        <v/>
      </c>
    </row>
    <row r="430" spans="6:12" x14ac:dyDescent="0.2">
      <c r="F430">
        <v>428</v>
      </c>
      <c r="G430" s="3" t="str">
        <f t="shared" ca="1" si="37"/>
        <v/>
      </c>
      <c r="H430" s="3" t="str">
        <f t="shared" ca="1" si="38"/>
        <v/>
      </c>
      <c r="I430" t="str">
        <f t="shared" ca="1" si="39"/>
        <v/>
      </c>
      <c r="J430" t="str">
        <f t="shared" ca="1" si="40"/>
        <v/>
      </c>
      <c r="K430" t="str">
        <f t="shared" ca="1" si="41"/>
        <v/>
      </c>
      <c r="L430" t="str">
        <f t="shared" ca="1" si="42"/>
        <v/>
      </c>
    </row>
    <row r="431" spans="6:12" x14ac:dyDescent="0.2">
      <c r="F431">
        <v>429</v>
      </c>
      <c r="G431" s="3" t="str">
        <f t="shared" ca="1" si="37"/>
        <v/>
      </c>
      <c r="H431" s="3" t="str">
        <f t="shared" ca="1" si="38"/>
        <v/>
      </c>
      <c r="I431" t="str">
        <f t="shared" ca="1" si="39"/>
        <v/>
      </c>
      <c r="J431" t="str">
        <f t="shared" ca="1" si="40"/>
        <v/>
      </c>
      <c r="K431" t="str">
        <f t="shared" ca="1" si="41"/>
        <v/>
      </c>
      <c r="L431" t="str">
        <f t="shared" ca="1" si="42"/>
        <v/>
      </c>
    </row>
    <row r="432" spans="6:12" x14ac:dyDescent="0.2">
      <c r="F432">
        <v>430</v>
      </c>
      <c r="G432" s="3" t="str">
        <f t="shared" ca="1" si="37"/>
        <v/>
      </c>
      <c r="H432" s="3" t="str">
        <f t="shared" ca="1" si="38"/>
        <v/>
      </c>
      <c r="I432" t="str">
        <f t="shared" ca="1" si="39"/>
        <v/>
      </c>
      <c r="J432" t="str">
        <f t="shared" ca="1" si="40"/>
        <v/>
      </c>
      <c r="K432" t="str">
        <f t="shared" ca="1" si="41"/>
        <v/>
      </c>
      <c r="L432" t="str">
        <f t="shared" ca="1" si="42"/>
        <v/>
      </c>
    </row>
    <row r="433" spans="6:12" x14ac:dyDescent="0.2">
      <c r="F433">
        <v>431</v>
      </c>
      <c r="G433" s="3" t="str">
        <f t="shared" ca="1" si="37"/>
        <v/>
      </c>
      <c r="H433" s="3" t="str">
        <f t="shared" ca="1" si="38"/>
        <v/>
      </c>
      <c r="I433" t="str">
        <f t="shared" ca="1" si="39"/>
        <v/>
      </c>
      <c r="J433" t="str">
        <f t="shared" ca="1" si="40"/>
        <v/>
      </c>
      <c r="K433" t="str">
        <f t="shared" ca="1" si="41"/>
        <v/>
      </c>
      <c r="L433" t="str">
        <f t="shared" ca="1" si="42"/>
        <v/>
      </c>
    </row>
    <row r="434" spans="6:12" x14ac:dyDescent="0.2">
      <c r="F434">
        <v>432</v>
      </c>
      <c r="G434" s="3" t="str">
        <f t="shared" ca="1" si="37"/>
        <v/>
      </c>
      <c r="H434" s="3" t="str">
        <f t="shared" ca="1" si="38"/>
        <v/>
      </c>
      <c r="I434" t="str">
        <f t="shared" ca="1" si="39"/>
        <v/>
      </c>
      <c r="J434" t="str">
        <f t="shared" ca="1" si="40"/>
        <v/>
      </c>
      <c r="K434" t="str">
        <f t="shared" ca="1" si="41"/>
        <v/>
      </c>
      <c r="L434" t="str">
        <f t="shared" ca="1" si="42"/>
        <v/>
      </c>
    </row>
    <row r="435" spans="6:12" x14ac:dyDescent="0.2">
      <c r="F435">
        <v>433</v>
      </c>
      <c r="G435" s="3" t="str">
        <f t="shared" ca="1" si="37"/>
        <v/>
      </c>
      <c r="H435" s="3" t="str">
        <f t="shared" ca="1" si="38"/>
        <v/>
      </c>
      <c r="I435" t="str">
        <f t="shared" ca="1" si="39"/>
        <v/>
      </c>
      <c r="J435" t="str">
        <f t="shared" ca="1" si="40"/>
        <v/>
      </c>
      <c r="K435" t="str">
        <f t="shared" ca="1" si="41"/>
        <v/>
      </c>
      <c r="L435" t="str">
        <f t="shared" ca="1" si="42"/>
        <v/>
      </c>
    </row>
    <row r="436" spans="6:12" x14ac:dyDescent="0.2">
      <c r="F436">
        <v>434</v>
      </c>
      <c r="G436" s="3" t="str">
        <f t="shared" ca="1" si="37"/>
        <v/>
      </c>
      <c r="H436" s="3" t="str">
        <f t="shared" ca="1" si="38"/>
        <v/>
      </c>
      <c r="I436" t="str">
        <f t="shared" ca="1" si="39"/>
        <v/>
      </c>
      <c r="J436" t="str">
        <f t="shared" ca="1" si="40"/>
        <v/>
      </c>
      <c r="K436" t="str">
        <f t="shared" ca="1" si="41"/>
        <v/>
      </c>
      <c r="L436" t="str">
        <f t="shared" ca="1" si="42"/>
        <v/>
      </c>
    </row>
    <row r="437" spans="6:12" x14ac:dyDescent="0.2">
      <c r="F437">
        <v>435</v>
      </c>
      <c r="G437" s="3" t="str">
        <f t="shared" ca="1" si="37"/>
        <v/>
      </c>
      <c r="H437" s="3" t="str">
        <f t="shared" ca="1" si="38"/>
        <v/>
      </c>
      <c r="I437" t="str">
        <f t="shared" ca="1" si="39"/>
        <v/>
      </c>
      <c r="J437" t="str">
        <f t="shared" ca="1" si="40"/>
        <v/>
      </c>
      <c r="K437" t="str">
        <f t="shared" ca="1" si="41"/>
        <v/>
      </c>
      <c r="L437" t="str">
        <f t="shared" ca="1" si="42"/>
        <v/>
      </c>
    </row>
    <row r="438" spans="6:12" x14ac:dyDescent="0.2">
      <c r="F438">
        <v>436</v>
      </c>
      <c r="G438" s="3" t="str">
        <f t="shared" ca="1" si="37"/>
        <v/>
      </c>
      <c r="H438" s="3" t="str">
        <f t="shared" ca="1" si="38"/>
        <v/>
      </c>
      <c r="I438" t="str">
        <f t="shared" ca="1" si="39"/>
        <v/>
      </c>
      <c r="J438" t="str">
        <f t="shared" ca="1" si="40"/>
        <v/>
      </c>
      <c r="K438" t="str">
        <f t="shared" ca="1" si="41"/>
        <v/>
      </c>
      <c r="L438" t="str">
        <f t="shared" ca="1" si="42"/>
        <v/>
      </c>
    </row>
    <row r="439" spans="6:12" x14ac:dyDescent="0.2">
      <c r="F439">
        <v>437</v>
      </c>
      <c r="G439" s="3" t="str">
        <f t="shared" ca="1" si="37"/>
        <v/>
      </c>
      <c r="H439" s="3" t="str">
        <f t="shared" ca="1" si="38"/>
        <v/>
      </c>
      <c r="I439" t="str">
        <f t="shared" ca="1" si="39"/>
        <v/>
      </c>
      <c r="J439" t="str">
        <f t="shared" ca="1" si="40"/>
        <v/>
      </c>
      <c r="K439" t="str">
        <f t="shared" ca="1" si="41"/>
        <v/>
      </c>
      <c r="L439" t="str">
        <f t="shared" ca="1" si="42"/>
        <v/>
      </c>
    </row>
    <row r="440" spans="6:12" x14ac:dyDescent="0.2">
      <c r="F440">
        <v>438</v>
      </c>
      <c r="G440" s="3" t="str">
        <f t="shared" ca="1" si="37"/>
        <v/>
      </c>
      <c r="H440" s="3" t="str">
        <f t="shared" ca="1" si="38"/>
        <v/>
      </c>
      <c r="I440" t="str">
        <f t="shared" ca="1" si="39"/>
        <v/>
      </c>
      <c r="J440" t="str">
        <f t="shared" ca="1" si="40"/>
        <v/>
      </c>
      <c r="K440" t="str">
        <f t="shared" ca="1" si="41"/>
        <v/>
      </c>
      <c r="L440" t="str">
        <f t="shared" ca="1" si="42"/>
        <v/>
      </c>
    </row>
    <row r="441" spans="6:12" x14ac:dyDescent="0.2">
      <c r="F441">
        <v>439</v>
      </c>
      <c r="G441" s="3" t="str">
        <f t="shared" ca="1" si="37"/>
        <v/>
      </c>
      <c r="H441" s="3" t="str">
        <f t="shared" ca="1" si="38"/>
        <v/>
      </c>
      <c r="I441" t="str">
        <f t="shared" ca="1" si="39"/>
        <v/>
      </c>
      <c r="J441" t="str">
        <f t="shared" ca="1" si="40"/>
        <v/>
      </c>
      <c r="K441" t="str">
        <f t="shared" ca="1" si="41"/>
        <v/>
      </c>
      <c r="L441" t="str">
        <f t="shared" ca="1" si="42"/>
        <v/>
      </c>
    </row>
    <row r="442" spans="6:12" x14ac:dyDescent="0.2">
      <c r="F442">
        <v>440</v>
      </c>
      <c r="G442" s="3" t="str">
        <f t="shared" ca="1" si="37"/>
        <v/>
      </c>
      <c r="H442" s="3" t="str">
        <f t="shared" ca="1" si="38"/>
        <v/>
      </c>
      <c r="I442" t="str">
        <f t="shared" ca="1" si="39"/>
        <v/>
      </c>
      <c r="J442" t="str">
        <f t="shared" ca="1" si="40"/>
        <v/>
      </c>
      <c r="K442" t="str">
        <f t="shared" ca="1" si="41"/>
        <v/>
      </c>
      <c r="L442" t="str">
        <f t="shared" ca="1" si="42"/>
        <v/>
      </c>
    </row>
    <row r="443" spans="6:12" x14ac:dyDescent="0.2">
      <c r="F443">
        <v>441</v>
      </c>
      <c r="G443" s="3" t="str">
        <f t="shared" ca="1" si="37"/>
        <v/>
      </c>
      <c r="H443" s="3" t="str">
        <f t="shared" ca="1" si="38"/>
        <v/>
      </c>
      <c r="I443" t="str">
        <f t="shared" ca="1" si="39"/>
        <v/>
      </c>
      <c r="J443" t="str">
        <f t="shared" ca="1" si="40"/>
        <v/>
      </c>
      <c r="K443" t="str">
        <f t="shared" ca="1" si="41"/>
        <v/>
      </c>
      <c r="L443" t="str">
        <f t="shared" ca="1" si="42"/>
        <v/>
      </c>
    </row>
    <row r="444" spans="6:12" x14ac:dyDescent="0.2">
      <c r="F444">
        <v>442</v>
      </c>
      <c r="G444" s="3" t="str">
        <f t="shared" ca="1" si="37"/>
        <v/>
      </c>
      <c r="H444" s="3" t="str">
        <f t="shared" ca="1" si="38"/>
        <v/>
      </c>
      <c r="I444" t="str">
        <f t="shared" ca="1" si="39"/>
        <v/>
      </c>
      <c r="J444" t="str">
        <f t="shared" ca="1" si="40"/>
        <v/>
      </c>
      <c r="K444" t="str">
        <f t="shared" ca="1" si="41"/>
        <v/>
      </c>
      <c r="L444" t="str">
        <f t="shared" ca="1" si="42"/>
        <v/>
      </c>
    </row>
    <row r="445" spans="6:12" x14ac:dyDescent="0.2">
      <c r="F445">
        <v>443</v>
      </c>
      <c r="G445" s="3" t="str">
        <f t="shared" ca="1" si="37"/>
        <v/>
      </c>
      <c r="H445" s="3" t="str">
        <f t="shared" ca="1" si="38"/>
        <v/>
      </c>
      <c r="I445" t="str">
        <f t="shared" ca="1" si="39"/>
        <v/>
      </c>
      <c r="J445" t="str">
        <f t="shared" ca="1" si="40"/>
        <v/>
      </c>
      <c r="K445" t="str">
        <f t="shared" ca="1" si="41"/>
        <v/>
      </c>
      <c r="L445" t="str">
        <f t="shared" ca="1" si="42"/>
        <v/>
      </c>
    </row>
    <row r="446" spans="6:12" x14ac:dyDescent="0.2">
      <c r="F446">
        <v>444</v>
      </c>
      <c r="G446" s="3" t="str">
        <f t="shared" ca="1" si="37"/>
        <v/>
      </c>
      <c r="H446" s="3" t="str">
        <f t="shared" ca="1" si="38"/>
        <v/>
      </c>
      <c r="I446" t="str">
        <f t="shared" ca="1" si="39"/>
        <v/>
      </c>
      <c r="J446" t="str">
        <f t="shared" ca="1" si="40"/>
        <v/>
      </c>
      <c r="K446" t="str">
        <f t="shared" ca="1" si="41"/>
        <v/>
      </c>
      <c r="L446" t="str">
        <f t="shared" ca="1" si="42"/>
        <v/>
      </c>
    </row>
    <row r="447" spans="6:12" x14ac:dyDescent="0.2">
      <c r="F447">
        <v>445</v>
      </c>
      <c r="G447" s="3" t="str">
        <f t="shared" ca="1" si="37"/>
        <v/>
      </c>
      <c r="H447" s="3" t="str">
        <f t="shared" ca="1" si="38"/>
        <v/>
      </c>
      <c r="I447" t="str">
        <f t="shared" ca="1" si="39"/>
        <v/>
      </c>
      <c r="J447" t="str">
        <f t="shared" ca="1" si="40"/>
        <v/>
      </c>
      <c r="K447" t="str">
        <f t="shared" ca="1" si="41"/>
        <v/>
      </c>
      <c r="L447" t="str">
        <f t="shared" ca="1" si="42"/>
        <v/>
      </c>
    </row>
    <row r="448" spans="6:12" x14ac:dyDescent="0.2">
      <c r="F448">
        <v>446</v>
      </c>
      <c r="G448" s="3" t="str">
        <f t="shared" ca="1" si="37"/>
        <v/>
      </c>
      <c r="H448" s="3" t="str">
        <f t="shared" ca="1" si="38"/>
        <v/>
      </c>
      <c r="I448" t="str">
        <f t="shared" ca="1" si="39"/>
        <v/>
      </c>
      <c r="J448" t="str">
        <f t="shared" ca="1" si="40"/>
        <v/>
      </c>
      <c r="K448" t="str">
        <f t="shared" ca="1" si="41"/>
        <v/>
      </c>
      <c r="L448" t="str">
        <f t="shared" ca="1" si="42"/>
        <v/>
      </c>
    </row>
    <row r="449" spans="6:12" x14ac:dyDescent="0.2">
      <c r="F449">
        <v>447</v>
      </c>
      <c r="G449" s="3" t="str">
        <f t="shared" ca="1" si="37"/>
        <v/>
      </c>
      <c r="H449" s="3" t="str">
        <f t="shared" ca="1" si="38"/>
        <v/>
      </c>
      <c r="I449" t="str">
        <f t="shared" ca="1" si="39"/>
        <v/>
      </c>
      <c r="J449" t="str">
        <f t="shared" ca="1" si="40"/>
        <v/>
      </c>
      <c r="K449" t="str">
        <f t="shared" ca="1" si="41"/>
        <v/>
      </c>
      <c r="L449" t="str">
        <f t="shared" ca="1" si="42"/>
        <v/>
      </c>
    </row>
    <row r="450" spans="6:12" x14ac:dyDescent="0.2">
      <c r="F450">
        <v>448</v>
      </c>
      <c r="G450" s="3" t="str">
        <f t="shared" ca="1" si="37"/>
        <v/>
      </c>
      <c r="H450" s="3" t="str">
        <f t="shared" ca="1" si="38"/>
        <v/>
      </c>
      <c r="I450" t="str">
        <f t="shared" ca="1" si="39"/>
        <v/>
      </c>
      <c r="J450" t="str">
        <f t="shared" ca="1" si="40"/>
        <v/>
      </c>
      <c r="K450" t="str">
        <f t="shared" ca="1" si="41"/>
        <v/>
      </c>
      <c r="L450" t="str">
        <f t="shared" ca="1" si="42"/>
        <v/>
      </c>
    </row>
    <row r="451" spans="6:12" x14ac:dyDescent="0.2">
      <c r="F451">
        <v>449</v>
      </c>
      <c r="G451" s="3" t="str">
        <f t="shared" ref="G451:G502" ca="1" si="43">IF(OR($F451&gt;N,G$2&gt;N_LISTS),"",QUOTIENT($F451-(QUOTIENT($F451,N)*N),N_1)
+IF(MOD($F451-(QUOTIENT($F451,N)*N),N_1)=0,0,1)
+IF(MOD($F451,N)=0,C_L1,0))</f>
        <v/>
      </c>
      <c r="H451" s="3" t="str">
        <f t="shared" ref="H451:H502" ca="1" si="44">IF(OR($F451&gt;N,H$2&gt;N_LISTS),"",QUOTIENT($F451-(QUOTIENT($F451,N_1)*N_1),N_2)
+IF(MOD($F451-(QUOTIENT($F451,N_1)*N_1),N_2)=0,0,1)
+IF(MOD($F451,N_1)=0,C_L2,0))</f>
        <v/>
      </c>
      <c r="I451" t="str">
        <f t="shared" ref="I451:I502" ca="1" si="45">IF(OR($F451&gt;N,I$2&gt;N_LISTS),"",QUOTIENT($F451-(QUOTIENT($F451,N_2)*N_2),N_3)
+IF(MOD($F451-(QUOTIENT($F451,N_2)*N_2),N_3)=0,0,1)
+IF(MOD($F451,N_2)=0,C_L3,0))</f>
        <v/>
      </c>
      <c r="J451" t="str">
        <f t="shared" ref="J451:J502" ca="1" si="46">IF(OR($F451&gt;N,J$2&gt;N_LISTS),"",QUOTIENT($F451-(QUOTIENT($F451,N_3)*N_3),N_4)
+IF(MOD($F451-(QUOTIENT($F451,N_3)*N_3),N_4)=0,0,1)
+IF(MOD($F451,N_3)=0,C_L4,0))</f>
        <v/>
      </c>
      <c r="K451" t="str">
        <f t="shared" ref="K451:K502" ca="1" si="47">IF(OR($F451&gt;N,K$2&gt;N_LISTS),"",QUOTIENT($F451-(QUOTIENT($F451,N_4)*N_4),N_5)
+IF(MOD($F451-(QUOTIENT($F451,N_4)*N_4),N_5)=0,0,1)
+IF(MOD($F451,N_4)=0,C_L5,0))</f>
        <v/>
      </c>
      <c r="L451" t="str">
        <f t="shared" ref="L451:L502" ca="1" si="48">IF(OR($F451&gt;N,L$2&gt;N_LISTS),"",QUOTIENT($F451-(QUOTIENT($F451,N_5)*N_5),1)
+IF(MOD($F451-(QUOTIENT($F451,N_5)*N_5),1)=0,0,1)
+IF(MOD($F451,N_5)=0,C_L6,0))</f>
        <v/>
      </c>
    </row>
    <row r="452" spans="6:12" x14ac:dyDescent="0.2">
      <c r="F452">
        <v>450</v>
      </c>
      <c r="G452" s="3" t="str">
        <f t="shared" ca="1" si="43"/>
        <v/>
      </c>
      <c r="H452" s="3" t="str">
        <f t="shared" ca="1" si="44"/>
        <v/>
      </c>
      <c r="I452" t="str">
        <f t="shared" ca="1" si="45"/>
        <v/>
      </c>
      <c r="J452" t="str">
        <f t="shared" ca="1" si="46"/>
        <v/>
      </c>
      <c r="K452" t="str">
        <f t="shared" ca="1" si="47"/>
        <v/>
      </c>
      <c r="L452" t="str">
        <f t="shared" ca="1" si="48"/>
        <v/>
      </c>
    </row>
    <row r="453" spans="6:12" x14ac:dyDescent="0.2">
      <c r="F453">
        <v>451</v>
      </c>
      <c r="G453" s="3" t="str">
        <f t="shared" ca="1" si="43"/>
        <v/>
      </c>
      <c r="H453" s="3" t="str">
        <f t="shared" ca="1" si="44"/>
        <v/>
      </c>
      <c r="I453" t="str">
        <f t="shared" ca="1" si="45"/>
        <v/>
      </c>
      <c r="J453" t="str">
        <f t="shared" ca="1" si="46"/>
        <v/>
      </c>
      <c r="K453" t="str">
        <f t="shared" ca="1" si="47"/>
        <v/>
      </c>
      <c r="L453" t="str">
        <f t="shared" ca="1" si="48"/>
        <v/>
      </c>
    </row>
    <row r="454" spans="6:12" x14ac:dyDescent="0.2">
      <c r="F454">
        <v>452</v>
      </c>
      <c r="G454" s="3" t="str">
        <f t="shared" ca="1" si="43"/>
        <v/>
      </c>
      <c r="H454" s="3" t="str">
        <f t="shared" ca="1" si="44"/>
        <v/>
      </c>
      <c r="I454" t="str">
        <f t="shared" ca="1" si="45"/>
        <v/>
      </c>
      <c r="J454" t="str">
        <f t="shared" ca="1" si="46"/>
        <v/>
      </c>
      <c r="K454" t="str">
        <f t="shared" ca="1" si="47"/>
        <v/>
      </c>
      <c r="L454" t="str">
        <f t="shared" ca="1" si="48"/>
        <v/>
      </c>
    </row>
    <row r="455" spans="6:12" x14ac:dyDescent="0.2">
      <c r="F455">
        <v>453</v>
      </c>
      <c r="G455" s="3" t="str">
        <f t="shared" ca="1" si="43"/>
        <v/>
      </c>
      <c r="H455" s="3" t="str">
        <f t="shared" ca="1" si="44"/>
        <v/>
      </c>
      <c r="I455" t="str">
        <f t="shared" ca="1" si="45"/>
        <v/>
      </c>
      <c r="J455" t="str">
        <f t="shared" ca="1" si="46"/>
        <v/>
      </c>
      <c r="K455" t="str">
        <f t="shared" ca="1" si="47"/>
        <v/>
      </c>
      <c r="L455" t="str">
        <f t="shared" ca="1" si="48"/>
        <v/>
      </c>
    </row>
    <row r="456" spans="6:12" x14ac:dyDescent="0.2">
      <c r="F456">
        <v>454</v>
      </c>
      <c r="G456" s="3" t="str">
        <f t="shared" ca="1" si="43"/>
        <v/>
      </c>
      <c r="H456" s="3" t="str">
        <f t="shared" ca="1" si="44"/>
        <v/>
      </c>
      <c r="I456" t="str">
        <f t="shared" ca="1" si="45"/>
        <v/>
      </c>
      <c r="J456" t="str">
        <f t="shared" ca="1" si="46"/>
        <v/>
      </c>
      <c r="K456" t="str">
        <f t="shared" ca="1" si="47"/>
        <v/>
      </c>
      <c r="L456" t="str">
        <f t="shared" ca="1" si="48"/>
        <v/>
      </c>
    </row>
    <row r="457" spans="6:12" x14ac:dyDescent="0.2">
      <c r="F457">
        <v>455</v>
      </c>
      <c r="G457" s="3" t="str">
        <f t="shared" ca="1" si="43"/>
        <v/>
      </c>
      <c r="H457" s="3" t="str">
        <f t="shared" ca="1" si="44"/>
        <v/>
      </c>
      <c r="I457" t="str">
        <f t="shared" ca="1" si="45"/>
        <v/>
      </c>
      <c r="J457" t="str">
        <f t="shared" ca="1" si="46"/>
        <v/>
      </c>
      <c r="K457" t="str">
        <f t="shared" ca="1" si="47"/>
        <v/>
      </c>
      <c r="L457" t="str">
        <f t="shared" ca="1" si="48"/>
        <v/>
      </c>
    </row>
    <row r="458" spans="6:12" x14ac:dyDescent="0.2">
      <c r="F458">
        <v>456</v>
      </c>
      <c r="G458" s="3" t="str">
        <f t="shared" ca="1" si="43"/>
        <v/>
      </c>
      <c r="H458" s="3" t="str">
        <f t="shared" ca="1" si="44"/>
        <v/>
      </c>
      <c r="I458" t="str">
        <f t="shared" ca="1" si="45"/>
        <v/>
      </c>
      <c r="J458" t="str">
        <f t="shared" ca="1" si="46"/>
        <v/>
      </c>
      <c r="K458" t="str">
        <f t="shared" ca="1" si="47"/>
        <v/>
      </c>
      <c r="L458" t="str">
        <f t="shared" ca="1" si="48"/>
        <v/>
      </c>
    </row>
    <row r="459" spans="6:12" x14ac:dyDescent="0.2">
      <c r="F459">
        <v>457</v>
      </c>
      <c r="G459" s="3" t="str">
        <f t="shared" ca="1" si="43"/>
        <v/>
      </c>
      <c r="H459" s="3" t="str">
        <f t="shared" ca="1" si="44"/>
        <v/>
      </c>
      <c r="I459" t="str">
        <f t="shared" ca="1" si="45"/>
        <v/>
      </c>
      <c r="J459" t="str">
        <f t="shared" ca="1" si="46"/>
        <v/>
      </c>
      <c r="K459" t="str">
        <f t="shared" ca="1" si="47"/>
        <v/>
      </c>
      <c r="L459" t="str">
        <f t="shared" ca="1" si="48"/>
        <v/>
      </c>
    </row>
    <row r="460" spans="6:12" x14ac:dyDescent="0.2">
      <c r="F460">
        <v>458</v>
      </c>
      <c r="G460" s="3" t="str">
        <f t="shared" ca="1" si="43"/>
        <v/>
      </c>
      <c r="H460" s="3" t="str">
        <f t="shared" ca="1" si="44"/>
        <v/>
      </c>
      <c r="I460" t="str">
        <f t="shared" ca="1" si="45"/>
        <v/>
      </c>
      <c r="J460" t="str">
        <f t="shared" ca="1" si="46"/>
        <v/>
      </c>
      <c r="K460" t="str">
        <f t="shared" ca="1" si="47"/>
        <v/>
      </c>
      <c r="L460" t="str">
        <f t="shared" ca="1" si="48"/>
        <v/>
      </c>
    </row>
    <row r="461" spans="6:12" x14ac:dyDescent="0.2">
      <c r="F461">
        <v>459</v>
      </c>
      <c r="G461" s="3" t="str">
        <f t="shared" ca="1" si="43"/>
        <v/>
      </c>
      <c r="H461" s="3" t="str">
        <f t="shared" ca="1" si="44"/>
        <v/>
      </c>
      <c r="I461" t="str">
        <f t="shared" ca="1" si="45"/>
        <v/>
      </c>
      <c r="J461" t="str">
        <f t="shared" ca="1" si="46"/>
        <v/>
      </c>
      <c r="K461" t="str">
        <f t="shared" ca="1" si="47"/>
        <v/>
      </c>
      <c r="L461" t="str">
        <f t="shared" ca="1" si="48"/>
        <v/>
      </c>
    </row>
    <row r="462" spans="6:12" x14ac:dyDescent="0.2">
      <c r="F462">
        <v>460</v>
      </c>
      <c r="G462" s="3" t="str">
        <f t="shared" ca="1" si="43"/>
        <v/>
      </c>
      <c r="H462" s="3" t="str">
        <f t="shared" ca="1" si="44"/>
        <v/>
      </c>
      <c r="I462" t="str">
        <f t="shared" ca="1" si="45"/>
        <v/>
      </c>
      <c r="J462" t="str">
        <f t="shared" ca="1" si="46"/>
        <v/>
      </c>
      <c r="K462" t="str">
        <f t="shared" ca="1" si="47"/>
        <v/>
      </c>
      <c r="L462" t="str">
        <f t="shared" ca="1" si="48"/>
        <v/>
      </c>
    </row>
    <row r="463" spans="6:12" x14ac:dyDescent="0.2">
      <c r="F463">
        <v>461</v>
      </c>
      <c r="G463" s="3" t="str">
        <f t="shared" ca="1" si="43"/>
        <v/>
      </c>
      <c r="H463" s="3" t="str">
        <f t="shared" ca="1" si="44"/>
        <v/>
      </c>
      <c r="I463" t="str">
        <f t="shared" ca="1" si="45"/>
        <v/>
      </c>
      <c r="J463" t="str">
        <f t="shared" ca="1" si="46"/>
        <v/>
      </c>
      <c r="K463" t="str">
        <f t="shared" ca="1" si="47"/>
        <v/>
      </c>
      <c r="L463" t="str">
        <f t="shared" ca="1" si="48"/>
        <v/>
      </c>
    </row>
    <row r="464" spans="6:12" x14ac:dyDescent="0.2">
      <c r="F464">
        <v>462</v>
      </c>
      <c r="G464" s="3" t="str">
        <f t="shared" ca="1" si="43"/>
        <v/>
      </c>
      <c r="H464" s="3" t="str">
        <f t="shared" ca="1" si="44"/>
        <v/>
      </c>
      <c r="I464" t="str">
        <f t="shared" ca="1" si="45"/>
        <v/>
      </c>
      <c r="J464" t="str">
        <f t="shared" ca="1" si="46"/>
        <v/>
      </c>
      <c r="K464" t="str">
        <f t="shared" ca="1" si="47"/>
        <v/>
      </c>
      <c r="L464" t="str">
        <f t="shared" ca="1" si="48"/>
        <v/>
      </c>
    </row>
    <row r="465" spans="6:12" x14ac:dyDescent="0.2">
      <c r="F465">
        <v>463</v>
      </c>
      <c r="G465" s="3" t="str">
        <f t="shared" ca="1" si="43"/>
        <v/>
      </c>
      <c r="H465" s="3" t="str">
        <f t="shared" ca="1" si="44"/>
        <v/>
      </c>
      <c r="I465" t="str">
        <f t="shared" ca="1" si="45"/>
        <v/>
      </c>
      <c r="J465" t="str">
        <f t="shared" ca="1" si="46"/>
        <v/>
      </c>
      <c r="K465" t="str">
        <f t="shared" ca="1" si="47"/>
        <v/>
      </c>
      <c r="L465" t="str">
        <f t="shared" ca="1" si="48"/>
        <v/>
      </c>
    </row>
    <row r="466" spans="6:12" x14ac:dyDescent="0.2">
      <c r="F466">
        <v>464</v>
      </c>
      <c r="G466" s="3" t="str">
        <f t="shared" ca="1" si="43"/>
        <v/>
      </c>
      <c r="H466" s="3" t="str">
        <f t="shared" ca="1" si="44"/>
        <v/>
      </c>
      <c r="I466" t="str">
        <f t="shared" ca="1" si="45"/>
        <v/>
      </c>
      <c r="J466" t="str">
        <f t="shared" ca="1" si="46"/>
        <v/>
      </c>
      <c r="K466" t="str">
        <f t="shared" ca="1" si="47"/>
        <v/>
      </c>
      <c r="L466" t="str">
        <f t="shared" ca="1" si="48"/>
        <v/>
      </c>
    </row>
    <row r="467" spans="6:12" x14ac:dyDescent="0.2">
      <c r="F467">
        <v>465</v>
      </c>
      <c r="G467" s="3" t="str">
        <f t="shared" ca="1" si="43"/>
        <v/>
      </c>
      <c r="H467" s="3" t="str">
        <f t="shared" ca="1" si="44"/>
        <v/>
      </c>
      <c r="I467" t="str">
        <f t="shared" ca="1" si="45"/>
        <v/>
      </c>
      <c r="J467" t="str">
        <f t="shared" ca="1" si="46"/>
        <v/>
      </c>
      <c r="K467" t="str">
        <f t="shared" ca="1" si="47"/>
        <v/>
      </c>
      <c r="L467" t="str">
        <f t="shared" ca="1" si="48"/>
        <v/>
      </c>
    </row>
    <row r="468" spans="6:12" x14ac:dyDescent="0.2">
      <c r="F468">
        <v>466</v>
      </c>
      <c r="G468" s="3" t="str">
        <f t="shared" ca="1" si="43"/>
        <v/>
      </c>
      <c r="H468" s="3" t="str">
        <f t="shared" ca="1" si="44"/>
        <v/>
      </c>
      <c r="I468" t="str">
        <f t="shared" ca="1" si="45"/>
        <v/>
      </c>
      <c r="J468" t="str">
        <f t="shared" ca="1" si="46"/>
        <v/>
      </c>
      <c r="K468" t="str">
        <f t="shared" ca="1" si="47"/>
        <v/>
      </c>
      <c r="L468" t="str">
        <f t="shared" ca="1" si="48"/>
        <v/>
      </c>
    </row>
    <row r="469" spans="6:12" x14ac:dyDescent="0.2">
      <c r="F469">
        <v>467</v>
      </c>
      <c r="G469" s="3" t="str">
        <f t="shared" ca="1" si="43"/>
        <v/>
      </c>
      <c r="H469" s="3" t="str">
        <f t="shared" ca="1" si="44"/>
        <v/>
      </c>
      <c r="I469" t="str">
        <f t="shared" ca="1" si="45"/>
        <v/>
      </c>
      <c r="J469" t="str">
        <f t="shared" ca="1" si="46"/>
        <v/>
      </c>
      <c r="K469" t="str">
        <f t="shared" ca="1" si="47"/>
        <v/>
      </c>
      <c r="L469" t="str">
        <f t="shared" ca="1" si="48"/>
        <v/>
      </c>
    </row>
    <row r="470" spans="6:12" x14ac:dyDescent="0.2">
      <c r="F470">
        <v>468</v>
      </c>
      <c r="G470" s="3" t="str">
        <f t="shared" ca="1" si="43"/>
        <v/>
      </c>
      <c r="H470" s="3" t="str">
        <f t="shared" ca="1" si="44"/>
        <v/>
      </c>
      <c r="I470" t="str">
        <f t="shared" ca="1" si="45"/>
        <v/>
      </c>
      <c r="J470" t="str">
        <f t="shared" ca="1" si="46"/>
        <v/>
      </c>
      <c r="K470" t="str">
        <f t="shared" ca="1" si="47"/>
        <v/>
      </c>
      <c r="L470" t="str">
        <f t="shared" ca="1" si="48"/>
        <v/>
      </c>
    </row>
    <row r="471" spans="6:12" x14ac:dyDescent="0.2">
      <c r="F471">
        <v>469</v>
      </c>
      <c r="G471" s="3" t="str">
        <f t="shared" ca="1" si="43"/>
        <v/>
      </c>
      <c r="H471" s="3" t="str">
        <f t="shared" ca="1" si="44"/>
        <v/>
      </c>
      <c r="I471" t="str">
        <f t="shared" ca="1" si="45"/>
        <v/>
      </c>
      <c r="J471" t="str">
        <f t="shared" ca="1" si="46"/>
        <v/>
      </c>
      <c r="K471" t="str">
        <f t="shared" ca="1" si="47"/>
        <v/>
      </c>
      <c r="L471" t="str">
        <f t="shared" ca="1" si="48"/>
        <v/>
      </c>
    </row>
    <row r="472" spans="6:12" x14ac:dyDescent="0.2">
      <c r="F472">
        <v>470</v>
      </c>
      <c r="G472" s="3" t="str">
        <f t="shared" ca="1" si="43"/>
        <v/>
      </c>
      <c r="H472" s="3" t="str">
        <f t="shared" ca="1" si="44"/>
        <v/>
      </c>
      <c r="I472" t="str">
        <f t="shared" ca="1" si="45"/>
        <v/>
      </c>
      <c r="J472" t="str">
        <f t="shared" ca="1" si="46"/>
        <v/>
      </c>
      <c r="K472" t="str">
        <f t="shared" ca="1" si="47"/>
        <v/>
      </c>
      <c r="L472" t="str">
        <f t="shared" ca="1" si="48"/>
        <v/>
      </c>
    </row>
    <row r="473" spans="6:12" x14ac:dyDescent="0.2">
      <c r="F473">
        <v>471</v>
      </c>
      <c r="G473" s="3" t="str">
        <f t="shared" ca="1" si="43"/>
        <v/>
      </c>
      <c r="H473" s="3" t="str">
        <f t="shared" ca="1" si="44"/>
        <v/>
      </c>
      <c r="I473" t="str">
        <f t="shared" ca="1" si="45"/>
        <v/>
      </c>
      <c r="J473" t="str">
        <f t="shared" ca="1" si="46"/>
        <v/>
      </c>
      <c r="K473" t="str">
        <f t="shared" ca="1" si="47"/>
        <v/>
      </c>
      <c r="L473" t="str">
        <f t="shared" ca="1" si="48"/>
        <v/>
      </c>
    </row>
    <row r="474" spans="6:12" x14ac:dyDescent="0.2">
      <c r="F474">
        <v>472</v>
      </c>
      <c r="G474" s="3" t="str">
        <f t="shared" ca="1" si="43"/>
        <v/>
      </c>
      <c r="H474" s="3" t="str">
        <f t="shared" ca="1" si="44"/>
        <v/>
      </c>
      <c r="I474" t="str">
        <f t="shared" ca="1" si="45"/>
        <v/>
      </c>
      <c r="J474" t="str">
        <f t="shared" ca="1" si="46"/>
        <v/>
      </c>
      <c r="K474" t="str">
        <f t="shared" ca="1" si="47"/>
        <v/>
      </c>
      <c r="L474" t="str">
        <f t="shared" ca="1" si="48"/>
        <v/>
      </c>
    </row>
    <row r="475" spans="6:12" x14ac:dyDescent="0.2">
      <c r="F475">
        <v>473</v>
      </c>
      <c r="G475" s="3" t="str">
        <f t="shared" ca="1" si="43"/>
        <v/>
      </c>
      <c r="H475" s="3" t="str">
        <f t="shared" ca="1" si="44"/>
        <v/>
      </c>
      <c r="I475" t="str">
        <f t="shared" ca="1" si="45"/>
        <v/>
      </c>
      <c r="J475" t="str">
        <f t="shared" ca="1" si="46"/>
        <v/>
      </c>
      <c r="K475" t="str">
        <f t="shared" ca="1" si="47"/>
        <v/>
      </c>
      <c r="L475" t="str">
        <f t="shared" ca="1" si="48"/>
        <v/>
      </c>
    </row>
    <row r="476" spans="6:12" x14ac:dyDescent="0.2">
      <c r="F476">
        <v>474</v>
      </c>
      <c r="G476" s="3" t="str">
        <f t="shared" ca="1" si="43"/>
        <v/>
      </c>
      <c r="H476" s="3" t="str">
        <f t="shared" ca="1" si="44"/>
        <v/>
      </c>
      <c r="I476" t="str">
        <f t="shared" ca="1" si="45"/>
        <v/>
      </c>
      <c r="J476" t="str">
        <f t="shared" ca="1" si="46"/>
        <v/>
      </c>
      <c r="K476" t="str">
        <f t="shared" ca="1" si="47"/>
        <v/>
      </c>
      <c r="L476" t="str">
        <f t="shared" ca="1" si="48"/>
        <v/>
      </c>
    </row>
    <row r="477" spans="6:12" x14ac:dyDescent="0.2">
      <c r="F477">
        <v>475</v>
      </c>
      <c r="G477" s="3" t="str">
        <f t="shared" ca="1" si="43"/>
        <v/>
      </c>
      <c r="H477" s="3" t="str">
        <f t="shared" ca="1" si="44"/>
        <v/>
      </c>
      <c r="I477" t="str">
        <f t="shared" ca="1" si="45"/>
        <v/>
      </c>
      <c r="J477" t="str">
        <f t="shared" ca="1" si="46"/>
        <v/>
      </c>
      <c r="K477" t="str">
        <f t="shared" ca="1" si="47"/>
        <v/>
      </c>
      <c r="L477" t="str">
        <f t="shared" ca="1" si="48"/>
        <v/>
      </c>
    </row>
    <row r="478" spans="6:12" x14ac:dyDescent="0.2">
      <c r="F478">
        <v>476</v>
      </c>
      <c r="G478" s="3" t="str">
        <f t="shared" ca="1" si="43"/>
        <v/>
      </c>
      <c r="H478" s="3" t="str">
        <f t="shared" ca="1" si="44"/>
        <v/>
      </c>
      <c r="I478" t="str">
        <f t="shared" ca="1" si="45"/>
        <v/>
      </c>
      <c r="J478" t="str">
        <f t="shared" ca="1" si="46"/>
        <v/>
      </c>
      <c r="K478" t="str">
        <f t="shared" ca="1" si="47"/>
        <v/>
      </c>
      <c r="L478" t="str">
        <f t="shared" ca="1" si="48"/>
        <v/>
      </c>
    </row>
    <row r="479" spans="6:12" x14ac:dyDescent="0.2">
      <c r="F479">
        <v>477</v>
      </c>
      <c r="G479" s="3" t="str">
        <f t="shared" ca="1" si="43"/>
        <v/>
      </c>
      <c r="H479" s="3" t="str">
        <f t="shared" ca="1" si="44"/>
        <v/>
      </c>
      <c r="I479" t="str">
        <f t="shared" ca="1" si="45"/>
        <v/>
      </c>
      <c r="J479" t="str">
        <f t="shared" ca="1" si="46"/>
        <v/>
      </c>
      <c r="K479" t="str">
        <f t="shared" ca="1" si="47"/>
        <v/>
      </c>
      <c r="L479" t="str">
        <f t="shared" ca="1" si="48"/>
        <v/>
      </c>
    </row>
    <row r="480" spans="6:12" x14ac:dyDescent="0.2">
      <c r="F480">
        <v>478</v>
      </c>
      <c r="G480" s="3" t="str">
        <f t="shared" ca="1" si="43"/>
        <v/>
      </c>
      <c r="H480" s="3" t="str">
        <f t="shared" ca="1" si="44"/>
        <v/>
      </c>
      <c r="I480" t="str">
        <f t="shared" ca="1" si="45"/>
        <v/>
      </c>
      <c r="J480" t="str">
        <f t="shared" ca="1" si="46"/>
        <v/>
      </c>
      <c r="K480" t="str">
        <f t="shared" ca="1" si="47"/>
        <v/>
      </c>
      <c r="L480" t="str">
        <f t="shared" ca="1" si="48"/>
        <v/>
      </c>
    </row>
    <row r="481" spans="6:12" x14ac:dyDescent="0.2">
      <c r="F481">
        <v>479</v>
      </c>
      <c r="G481" s="3" t="str">
        <f t="shared" ca="1" si="43"/>
        <v/>
      </c>
      <c r="H481" s="3" t="str">
        <f t="shared" ca="1" si="44"/>
        <v/>
      </c>
      <c r="I481" t="str">
        <f t="shared" ca="1" si="45"/>
        <v/>
      </c>
      <c r="J481" t="str">
        <f t="shared" ca="1" si="46"/>
        <v/>
      </c>
      <c r="K481" t="str">
        <f t="shared" ca="1" si="47"/>
        <v/>
      </c>
      <c r="L481" t="str">
        <f t="shared" ca="1" si="48"/>
        <v/>
      </c>
    </row>
    <row r="482" spans="6:12" x14ac:dyDescent="0.2">
      <c r="F482">
        <v>480</v>
      </c>
      <c r="G482" s="3" t="str">
        <f t="shared" ca="1" si="43"/>
        <v/>
      </c>
      <c r="H482" s="3" t="str">
        <f t="shared" ca="1" si="44"/>
        <v/>
      </c>
      <c r="I482" t="str">
        <f t="shared" ca="1" si="45"/>
        <v/>
      </c>
      <c r="J482" t="str">
        <f t="shared" ca="1" si="46"/>
        <v/>
      </c>
      <c r="K482" t="str">
        <f t="shared" ca="1" si="47"/>
        <v/>
      </c>
      <c r="L482" t="str">
        <f t="shared" ca="1" si="48"/>
        <v/>
      </c>
    </row>
    <row r="483" spans="6:12" x14ac:dyDescent="0.2">
      <c r="F483">
        <v>481</v>
      </c>
      <c r="G483" s="3" t="str">
        <f t="shared" ca="1" si="43"/>
        <v/>
      </c>
      <c r="H483" s="3" t="str">
        <f t="shared" ca="1" si="44"/>
        <v/>
      </c>
      <c r="I483" t="str">
        <f t="shared" ca="1" si="45"/>
        <v/>
      </c>
      <c r="J483" t="str">
        <f t="shared" ca="1" si="46"/>
        <v/>
      </c>
      <c r="K483" t="str">
        <f t="shared" ca="1" si="47"/>
        <v/>
      </c>
      <c r="L483" t="str">
        <f t="shared" ca="1" si="48"/>
        <v/>
      </c>
    </row>
    <row r="484" spans="6:12" x14ac:dyDescent="0.2">
      <c r="F484">
        <v>482</v>
      </c>
      <c r="G484" s="3" t="str">
        <f t="shared" ca="1" si="43"/>
        <v/>
      </c>
      <c r="H484" s="3" t="str">
        <f t="shared" ca="1" si="44"/>
        <v/>
      </c>
      <c r="I484" t="str">
        <f t="shared" ca="1" si="45"/>
        <v/>
      </c>
      <c r="J484" t="str">
        <f t="shared" ca="1" si="46"/>
        <v/>
      </c>
      <c r="K484" t="str">
        <f t="shared" ca="1" si="47"/>
        <v/>
      </c>
      <c r="L484" t="str">
        <f t="shared" ca="1" si="48"/>
        <v/>
      </c>
    </row>
    <row r="485" spans="6:12" x14ac:dyDescent="0.2">
      <c r="F485">
        <v>483</v>
      </c>
      <c r="G485" s="3" t="str">
        <f t="shared" ca="1" si="43"/>
        <v/>
      </c>
      <c r="H485" s="3" t="str">
        <f t="shared" ca="1" si="44"/>
        <v/>
      </c>
      <c r="I485" t="str">
        <f t="shared" ca="1" si="45"/>
        <v/>
      </c>
      <c r="J485" t="str">
        <f t="shared" ca="1" si="46"/>
        <v/>
      </c>
      <c r="K485" t="str">
        <f t="shared" ca="1" si="47"/>
        <v/>
      </c>
      <c r="L485" t="str">
        <f t="shared" ca="1" si="48"/>
        <v/>
      </c>
    </row>
    <row r="486" spans="6:12" x14ac:dyDescent="0.2">
      <c r="F486">
        <v>484</v>
      </c>
      <c r="G486" s="3" t="str">
        <f t="shared" ca="1" si="43"/>
        <v/>
      </c>
      <c r="H486" s="3" t="str">
        <f t="shared" ca="1" si="44"/>
        <v/>
      </c>
      <c r="I486" t="str">
        <f t="shared" ca="1" si="45"/>
        <v/>
      </c>
      <c r="J486" t="str">
        <f t="shared" ca="1" si="46"/>
        <v/>
      </c>
      <c r="K486" t="str">
        <f t="shared" ca="1" si="47"/>
        <v/>
      </c>
      <c r="L486" t="str">
        <f t="shared" ca="1" si="48"/>
        <v/>
      </c>
    </row>
    <row r="487" spans="6:12" x14ac:dyDescent="0.2">
      <c r="F487">
        <v>485</v>
      </c>
      <c r="G487" s="3" t="str">
        <f t="shared" ca="1" si="43"/>
        <v/>
      </c>
      <c r="H487" s="3" t="str">
        <f t="shared" ca="1" si="44"/>
        <v/>
      </c>
      <c r="I487" t="str">
        <f t="shared" ca="1" si="45"/>
        <v/>
      </c>
      <c r="J487" t="str">
        <f t="shared" ca="1" si="46"/>
        <v/>
      </c>
      <c r="K487" t="str">
        <f t="shared" ca="1" si="47"/>
        <v/>
      </c>
      <c r="L487" t="str">
        <f t="shared" ca="1" si="48"/>
        <v/>
      </c>
    </row>
    <row r="488" spans="6:12" x14ac:dyDescent="0.2">
      <c r="F488">
        <v>486</v>
      </c>
      <c r="G488" s="3" t="str">
        <f t="shared" ca="1" si="43"/>
        <v/>
      </c>
      <c r="H488" s="3" t="str">
        <f t="shared" ca="1" si="44"/>
        <v/>
      </c>
      <c r="I488" t="str">
        <f t="shared" ca="1" si="45"/>
        <v/>
      </c>
      <c r="J488" t="str">
        <f t="shared" ca="1" si="46"/>
        <v/>
      </c>
      <c r="K488" t="str">
        <f t="shared" ca="1" si="47"/>
        <v/>
      </c>
      <c r="L488" t="str">
        <f t="shared" ca="1" si="48"/>
        <v/>
      </c>
    </row>
    <row r="489" spans="6:12" x14ac:dyDescent="0.2">
      <c r="F489">
        <v>487</v>
      </c>
      <c r="G489" s="3" t="str">
        <f t="shared" ca="1" si="43"/>
        <v/>
      </c>
      <c r="H489" s="3" t="str">
        <f t="shared" ca="1" si="44"/>
        <v/>
      </c>
      <c r="I489" t="str">
        <f t="shared" ca="1" si="45"/>
        <v/>
      </c>
      <c r="J489" t="str">
        <f t="shared" ca="1" si="46"/>
        <v/>
      </c>
      <c r="K489" t="str">
        <f t="shared" ca="1" si="47"/>
        <v/>
      </c>
      <c r="L489" t="str">
        <f t="shared" ca="1" si="48"/>
        <v/>
      </c>
    </row>
    <row r="490" spans="6:12" x14ac:dyDescent="0.2">
      <c r="F490">
        <v>488</v>
      </c>
      <c r="G490" s="3" t="str">
        <f t="shared" ca="1" si="43"/>
        <v/>
      </c>
      <c r="H490" s="3" t="str">
        <f t="shared" ca="1" si="44"/>
        <v/>
      </c>
      <c r="I490" t="str">
        <f t="shared" ca="1" si="45"/>
        <v/>
      </c>
      <c r="J490" t="str">
        <f t="shared" ca="1" si="46"/>
        <v/>
      </c>
      <c r="K490" t="str">
        <f t="shared" ca="1" si="47"/>
        <v/>
      </c>
      <c r="L490" t="str">
        <f t="shared" ca="1" si="48"/>
        <v/>
      </c>
    </row>
    <row r="491" spans="6:12" x14ac:dyDescent="0.2">
      <c r="F491">
        <v>489</v>
      </c>
      <c r="G491" s="3" t="str">
        <f t="shared" ca="1" si="43"/>
        <v/>
      </c>
      <c r="H491" s="3" t="str">
        <f t="shared" ca="1" si="44"/>
        <v/>
      </c>
      <c r="I491" t="str">
        <f t="shared" ca="1" si="45"/>
        <v/>
      </c>
      <c r="J491" t="str">
        <f t="shared" ca="1" si="46"/>
        <v/>
      </c>
      <c r="K491" t="str">
        <f t="shared" ca="1" si="47"/>
        <v/>
      </c>
      <c r="L491" t="str">
        <f t="shared" ca="1" si="48"/>
        <v/>
      </c>
    </row>
    <row r="492" spans="6:12" x14ac:dyDescent="0.2">
      <c r="F492">
        <v>490</v>
      </c>
      <c r="G492" s="3" t="str">
        <f t="shared" ca="1" si="43"/>
        <v/>
      </c>
      <c r="H492" s="3" t="str">
        <f t="shared" ca="1" si="44"/>
        <v/>
      </c>
      <c r="I492" t="str">
        <f t="shared" ca="1" si="45"/>
        <v/>
      </c>
      <c r="J492" t="str">
        <f t="shared" ca="1" si="46"/>
        <v/>
      </c>
      <c r="K492" t="str">
        <f t="shared" ca="1" si="47"/>
        <v/>
      </c>
      <c r="L492" t="str">
        <f t="shared" ca="1" si="48"/>
        <v/>
      </c>
    </row>
    <row r="493" spans="6:12" x14ac:dyDescent="0.2">
      <c r="F493">
        <v>491</v>
      </c>
      <c r="G493" s="3" t="str">
        <f t="shared" ca="1" si="43"/>
        <v/>
      </c>
      <c r="H493" s="3" t="str">
        <f t="shared" ca="1" si="44"/>
        <v/>
      </c>
      <c r="I493" t="str">
        <f t="shared" ca="1" si="45"/>
        <v/>
      </c>
      <c r="J493" t="str">
        <f t="shared" ca="1" si="46"/>
        <v/>
      </c>
      <c r="K493" t="str">
        <f t="shared" ca="1" si="47"/>
        <v/>
      </c>
      <c r="L493" t="str">
        <f t="shared" ca="1" si="48"/>
        <v/>
      </c>
    </row>
    <row r="494" spans="6:12" x14ac:dyDescent="0.2">
      <c r="F494">
        <v>492</v>
      </c>
      <c r="G494" s="3" t="str">
        <f t="shared" ca="1" si="43"/>
        <v/>
      </c>
      <c r="H494" s="3" t="str">
        <f t="shared" ca="1" si="44"/>
        <v/>
      </c>
      <c r="I494" t="str">
        <f t="shared" ca="1" si="45"/>
        <v/>
      </c>
      <c r="J494" t="str">
        <f t="shared" ca="1" si="46"/>
        <v/>
      </c>
      <c r="K494" t="str">
        <f t="shared" ca="1" si="47"/>
        <v/>
      </c>
      <c r="L494" t="str">
        <f t="shared" ca="1" si="48"/>
        <v/>
      </c>
    </row>
    <row r="495" spans="6:12" x14ac:dyDescent="0.2">
      <c r="F495">
        <v>493</v>
      </c>
      <c r="G495" s="3" t="str">
        <f t="shared" ca="1" si="43"/>
        <v/>
      </c>
      <c r="H495" s="3" t="str">
        <f t="shared" ca="1" si="44"/>
        <v/>
      </c>
      <c r="I495" t="str">
        <f t="shared" ca="1" si="45"/>
        <v/>
      </c>
      <c r="J495" t="str">
        <f t="shared" ca="1" si="46"/>
        <v/>
      </c>
      <c r="K495" t="str">
        <f t="shared" ca="1" si="47"/>
        <v/>
      </c>
      <c r="L495" t="str">
        <f t="shared" ca="1" si="48"/>
        <v/>
      </c>
    </row>
    <row r="496" spans="6:12" x14ac:dyDescent="0.2">
      <c r="F496">
        <v>494</v>
      </c>
      <c r="G496" s="3" t="str">
        <f t="shared" ca="1" si="43"/>
        <v/>
      </c>
      <c r="H496" s="3" t="str">
        <f t="shared" ca="1" si="44"/>
        <v/>
      </c>
      <c r="I496" t="str">
        <f t="shared" ca="1" si="45"/>
        <v/>
      </c>
      <c r="J496" t="str">
        <f t="shared" ca="1" si="46"/>
        <v/>
      </c>
      <c r="K496" t="str">
        <f t="shared" ca="1" si="47"/>
        <v/>
      </c>
      <c r="L496" t="str">
        <f t="shared" ca="1" si="48"/>
        <v/>
      </c>
    </row>
    <row r="497" spans="6:12" x14ac:dyDescent="0.2">
      <c r="F497">
        <v>495</v>
      </c>
      <c r="G497" s="3" t="str">
        <f t="shared" ca="1" si="43"/>
        <v/>
      </c>
      <c r="H497" s="3" t="str">
        <f t="shared" ca="1" si="44"/>
        <v/>
      </c>
      <c r="I497" t="str">
        <f t="shared" ca="1" si="45"/>
        <v/>
      </c>
      <c r="J497" t="str">
        <f t="shared" ca="1" si="46"/>
        <v/>
      </c>
      <c r="K497" t="str">
        <f t="shared" ca="1" si="47"/>
        <v/>
      </c>
      <c r="L497" t="str">
        <f t="shared" ca="1" si="48"/>
        <v/>
      </c>
    </row>
    <row r="498" spans="6:12" x14ac:dyDescent="0.2">
      <c r="F498">
        <v>496</v>
      </c>
      <c r="G498" s="3" t="str">
        <f t="shared" ca="1" si="43"/>
        <v/>
      </c>
      <c r="H498" s="3" t="str">
        <f t="shared" ca="1" si="44"/>
        <v/>
      </c>
      <c r="I498" t="str">
        <f t="shared" ca="1" si="45"/>
        <v/>
      </c>
      <c r="J498" t="str">
        <f t="shared" ca="1" si="46"/>
        <v/>
      </c>
      <c r="K498" t="str">
        <f t="shared" ca="1" si="47"/>
        <v/>
      </c>
      <c r="L498" t="str">
        <f t="shared" ca="1" si="48"/>
        <v/>
      </c>
    </row>
    <row r="499" spans="6:12" x14ac:dyDescent="0.2">
      <c r="F499">
        <v>497</v>
      </c>
      <c r="G499" s="3" t="str">
        <f t="shared" ca="1" si="43"/>
        <v/>
      </c>
      <c r="H499" s="3" t="str">
        <f t="shared" ca="1" si="44"/>
        <v/>
      </c>
      <c r="I499" t="str">
        <f t="shared" ca="1" si="45"/>
        <v/>
      </c>
      <c r="J499" t="str">
        <f t="shared" ca="1" si="46"/>
        <v/>
      </c>
      <c r="K499" t="str">
        <f t="shared" ca="1" si="47"/>
        <v/>
      </c>
      <c r="L499" t="str">
        <f t="shared" ca="1" si="48"/>
        <v/>
      </c>
    </row>
    <row r="500" spans="6:12" x14ac:dyDescent="0.2">
      <c r="F500">
        <v>498</v>
      </c>
      <c r="G500" s="3" t="str">
        <f t="shared" ca="1" si="43"/>
        <v/>
      </c>
      <c r="H500" s="3" t="str">
        <f t="shared" ca="1" si="44"/>
        <v/>
      </c>
      <c r="I500" t="str">
        <f t="shared" ca="1" si="45"/>
        <v/>
      </c>
      <c r="J500" t="str">
        <f t="shared" ca="1" si="46"/>
        <v/>
      </c>
      <c r="K500" t="str">
        <f t="shared" ca="1" si="47"/>
        <v/>
      </c>
      <c r="L500" t="str">
        <f t="shared" ca="1" si="48"/>
        <v/>
      </c>
    </row>
    <row r="501" spans="6:12" x14ac:dyDescent="0.2">
      <c r="F501">
        <v>499</v>
      </c>
      <c r="G501" s="3" t="str">
        <f t="shared" ca="1" si="43"/>
        <v/>
      </c>
      <c r="H501" s="3" t="str">
        <f t="shared" ca="1" si="44"/>
        <v/>
      </c>
      <c r="I501" t="str">
        <f t="shared" ca="1" si="45"/>
        <v/>
      </c>
      <c r="J501" t="str">
        <f t="shared" ca="1" si="46"/>
        <v/>
      </c>
      <c r="K501" t="str">
        <f t="shared" ca="1" si="47"/>
        <v/>
      </c>
      <c r="L501" t="str">
        <f t="shared" ca="1" si="48"/>
        <v/>
      </c>
    </row>
    <row r="502" spans="6:12" x14ac:dyDescent="0.2">
      <c r="F502">
        <v>500</v>
      </c>
      <c r="G502" s="3" t="str">
        <f t="shared" ca="1" si="43"/>
        <v/>
      </c>
      <c r="H502" s="3" t="str">
        <f t="shared" ca="1" si="44"/>
        <v/>
      </c>
      <c r="I502" t="str">
        <f t="shared" ca="1" si="45"/>
        <v/>
      </c>
      <c r="J502" t="str">
        <f t="shared" ca="1" si="46"/>
        <v/>
      </c>
      <c r="K502" t="str">
        <f t="shared" ca="1" si="47"/>
        <v/>
      </c>
      <c r="L502" t="str">
        <f t="shared" ca="1" si="48"/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14</vt:i4>
      </vt:variant>
    </vt:vector>
  </HeadingPairs>
  <TitlesOfParts>
    <vt:vector size="17" baseType="lpstr">
      <vt:lpstr>Combinations</vt:lpstr>
      <vt:lpstr>Sheet1</vt:lpstr>
      <vt:lpstr>HELP</vt:lpstr>
      <vt:lpstr>C_L1</vt:lpstr>
      <vt:lpstr>C_L2</vt:lpstr>
      <vt:lpstr>C_L3</vt:lpstr>
      <vt:lpstr>C_L4</vt:lpstr>
      <vt:lpstr>C_L5</vt:lpstr>
      <vt:lpstr>C_L6</vt:lpstr>
      <vt:lpstr>I_S</vt:lpstr>
      <vt:lpstr>N</vt:lpstr>
      <vt:lpstr>N_1</vt:lpstr>
      <vt:lpstr>N_2</vt:lpstr>
      <vt:lpstr>N_3</vt:lpstr>
      <vt:lpstr>N_4</vt:lpstr>
      <vt:lpstr>N_5</vt:lpstr>
      <vt:lpstr>N_LISTS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indzara</dc:creator>
  <cp:lastModifiedBy>Rodolfo Espinosa Nunez</cp:lastModifiedBy>
  <dcterms:created xsi:type="dcterms:W3CDTF">2019-02-03T17:08:21Z</dcterms:created>
  <dcterms:modified xsi:type="dcterms:W3CDTF">2026-03-16T02:49:29Z</dcterms:modified>
</cp:coreProperties>
</file>